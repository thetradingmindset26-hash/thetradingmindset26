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 ✦" sheetId="1" state="visible" r:id="rId1"/>
    <sheet xmlns:r="http://schemas.openxmlformats.org/officeDocument/2006/relationships" name="TRADE_LO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ETUP_ANALYSIS" sheetId="4" state="visible" r:id="rId4"/>
    <sheet xmlns:r="http://schemas.openxmlformats.org/officeDocument/2006/relationships" name="PSYCHOLOGY_LOG" sheetId="5" state="visible" r:id="rId5"/>
    <sheet xmlns:r="http://schemas.openxmlformats.org/officeDocument/2006/relationships" name="WEEKLY_REVIEW" sheetId="6" state="visible" r:id="rId6"/>
    <sheet xmlns:r="http://schemas.openxmlformats.org/officeDocument/2006/relationships" name="AI_PROMP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+#,##0;\-#,##0"/>
    <numFmt numFmtId="165" formatCode="0.0%"/>
    <numFmt numFmtId="166" formatCode="0.00\x"/>
    <numFmt numFmtId="167" formatCode="0.0"/>
    <numFmt numFmtId="168" formatCode="\+#,##0.0;\-#,##0.0"/>
  </numFmts>
  <fonts count="6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FF88"/>
      <sz val="13"/>
    </font>
    <font>
      <name val="Arial"/>
      <charset val="1"/>
      <family val="0"/>
      <i val="1"/>
      <color rgb="FFFFD700"/>
      <sz val="9"/>
    </font>
    <font>
      <name val="Arial"/>
      <charset val="1"/>
      <family val="0"/>
      <b val="1"/>
      <color rgb="FF00FF88"/>
      <sz val="10"/>
    </font>
    <font>
      <name val="Arial"/>
      <charset val="1"/>
      <family val="0"/>
      <color rgb="FFF0F4FF"/>
      <sz val="9"/>
    </font>
    <font>
      <name val="Arial"/>
      <charset val="1"/>
      <family val="0"/>
      <b val="1"/>
      <color rgb="FFFFD700"/>
      <sz val="10"/>
    </font>
    <font>
      <name val="Arial"/>
      <charset val="1"/>
      <family val="0"/>
      <color rgb="FFFFD700"/>
      <sz val="9"/>
    </font>
    <font>
      <name val="Arial"/>
      <charset val="1"/>
      <family val="0"/>
      <b val="1"/>
      <color rgb="FFFF4D6D"/>
      <sz val="10"/>
    </font>
    <font>
      <name val="Arial"/>
      <charset val="1"/>
      <family val="0"/>
      <color rgb="FFFF4D6D"/>
      <sz val="9"/>
    </font>
    <font>
      <name val="Arial"/>
      <charset val="1"/>
      <family val="0"/>
      <b val="1"/>
      <color rgb="FF38BDF8"/>
      <sz val="10"/>
    </font>
    <font>
      <name val="Arial"/>
      <charset val="1"/>
      <family val="0"/>
      <color rgb="FF38BDF8"/>
      <sz val="9"/>
    </font>
    <font>
      <name val="Arial"/>
      <charset val="1"/>
      <family val="0"/>
      <b val="1"/>
      <color rgb="FF00FF88"/>
      <sz val="11"/>
    </font>
    <font>
      <name val="Arial"/>
      <charset val="1"/>
      <family val="0"/>
      <i val="1"/>
      <color rgb="FFFFD700"/>
      <sz val="8"/>
    </font>
    <font>
      <name val="Arial"/>
      <charset val="1"/>
      <family val="0"/>
      <b val="1"/>
      <color rgb="FF8892A4"/>
      <sz val="8"/>
    </font>
    <font>
      <name val="Arial"/>
      <charset val="1"/>
      <family val="0"/>
      <b val="1"/>
      <color rgb="FF38BDF8"/>
      <sz val="8"/>
    </font>
    <font>
      <name val="Arial"/>
      <charset val="1"/>
      <family val="0"/>
      <b val="1"/>
      <color rgb="FFFF8C42"/>
      <sz val="8"/>
    </font>
    <font>
      <name val="Arial"/>
      <charset val="1"/>
      <family val="0"/>
      <b val="1"/>
      <color rgb="FFF0F4FF"/>
      <sz val="8"/>
    </font>
    <font>
      <name val="Arial"/>
      <charset val="1"/>
      <family val="0"/>
      <b val="1"/>
      <color rgb="FF00FF88"/>
      <sz val="8"/>
    </font>
    <font>
      <name val="Arial"/>
      <charset val="1"/>
      <family val="0"/>
      <b val="1"/>
      <color rgb="FFFFD700"/>
      <sz val="8"/>
    </font>
    <font>
      <name val="Arial"/>
      <charset val="1"/>
      <family val="0"/>
      <b val="1"/>
      <color rgb="FFAA00FF"/>
      <sz val="8"/>
    </font>
    <font>
      <name val="Arial"/>
      <charset val="1"/>
      <family val="0"/>
      <b val="1"/>
      <color rgb="FF00C853"/>
      <sz val="8"/>
    </font>
    <font>
      <name val="Arial"/>
      <charset val="1"/>
      <family val="0"/>
      <color rgb="FFF0F4FF"/>
      <sz val="10"/>
    </font>
    <font>
      <name val="Arial"/>
      <charset val="1"/>
      <family val="0"/>
      <b val="1"/>
      <color rgb="FFF0F4FF"/>
      <sz val="10"/>
    </font>
    <font>
      <name val="Arial"/>
      <charset val="1"/>
      <family val="0"/>
      <b val="1"/>
      <color rgb="FF00C853"/>
      <sz val="10"/>
    </font>
    <font>
      <name val="Arial"/>
      <charset val="1"/>
      <family val="0"/>
      <b val="1"/>
      <color rgb="FF38BDF8"/>
      <sz val="12"/>
    </font>
    <font>
      <name val="Arial"/>
      <charset val="1"/>
      <family val="0"/>
      <i val="1"/>
      <color rgb="FF00FF88"/>
      <sz val="8"/>
    </font>
    <font>
      <name val="Arial"/>
      <charset val="1"/>
      <family val="0"/>
      <b val="1"/>
      <color rgb="FF38BDF8"/>
      <sz val="16"/>
    </font>
    <font>
      <name val="Arial"/>
      <charset val="1"/>
      <family val="0"/>
      <b val="1"/>
      <color rgb="FF00FF88"/>
      <sz val="16"/>
    </font>
    <font>
      <name val="Arial"/>
      <charset val="1"/>
      <family val="0"/>
      <b val="1"/>
      <color rgb="FFFFD700"/>
      <sz val="16"/>
    </font>
    <font>
      <name val="Arial"/>
      <charset val="1"/>
      <family val="0"/>
      <b val="1"/>
      <color rgb="FFF0F4FF"/>
      <sz val="16"/>
    </font>
    <font>
      <name val="Arial"/>
      <charset val="1"/>
      <family val="0"/>
      <b val="1"/>
      <color rgb="FFFF4D6D"/>
      <sz val="16"/>
    </font>
    <font>
      <name val="Arial"/>
      <charset val="1"/>
      <family val="0"/>
      <b val="1"/>
      <color rgb="FFAA00FF"/>
      <sz val="16"/>
    </font>
    <font>
      <name val="Arial"/>
      <charset val="1"/>
      <family val="0"/>
      <b val="1"/>
      <color rgb="FF00FF88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AA00FF"/>
      <sz val="12"/>
    </font>
    <font>
      <name val="Arial"/>
      <charset val="1"/>
      <family val="0"/>
      <b val="1"/>
      <color rgb="FFAA00FF"/>
      <sz val="9"/>
    </font>
    <font>
      <name val="Arial"/>
      <charset val="1"/>
      <family val="0"/>
      <b val="1"/>
      <color rgb="FFFF8C42"/>
      <sz val="12"/>
    </font>
    <font>
      <name val="Arial"/>
      <charset val="1"/>
      <family val="0"/>
      <b val="1"/>
      <color rgb="FFFF8C42"/>
      <sz val="9"/>
    </font>
    <font>
      <name val="Arial"/>
      <charset val="1"/>
      <family val="0"/>
      <b val="1"/>
      <color rgb="FFFF4D6D"/>
      <sz val="9"/>
    </font>
    <font>
      <name val="Arial"/>
      <charset val="1"/>
      <family val="0"/>
      <color rgb="FFFFD700"/>
      <sz val="10"/>
    </font>
    <font>
      <name val="Arial"/>
      <charset val="1"/>
      <family val="0"/>
      <color rgb="FFFF8C42"/>
      <sz val="10"/>
    </font>
    <font>
      <name val="Arial"/>
      <charset val="1"/>
      <family val="0"/>
      <color rgb="FF8892A4"/>
      <sz val="10"/>
    </font>
    <font>
      <name val="Arial"/>
      <charset val="1"/>
      <family val="0"/>
      <b val="1"/>
      <color rgb="FFFFD700"/>
      <sz val="11"/>
    </font>
    <font>
      <name val="Arial"/>
      <charset val="1"/>
      <family val="0"/>
      <color rgb="FF00FF88"/>
      <sz val="9"/>
    </font>
    <font>
      <name val="Arial"/>
      <charset val="1"/>
      <family val="0"/>
      <color rgb="FF00FF88"/>
      <sz val="10"/>
    </font>
    <font>
      <name val="Arial"/>
      <charset val="1"/>
      <family val="0"/>
      <i val="1"/>
      <color rgb="FF00FF88"/>
      <sz val="9"/>
    </font>
    <font>
      <name val="Arial"/>
      <charset val="1"/>
      <family val="0"/>
      <color rgb="FF8892A4"/>
      <sz val="9"/>
    </font>
    <font>
      <name val="Arial"/>
      <charset val="1"/>
      <family val="0"/>
      <b val="1"/>
      <color rgb="FFFFD700"/>
      <sz val="9"/>
    </font>
    <font>
      <name val="Arial"/>
      <i val="1"/>
      <color rgb="008892A4"/>
      <sz val="7"/>
    </font>
    <font>
      <name val="Arial"/>
      <b val="1"/>
      <color rgb="0000FF88"/>
      <sz val="14"/>
    </font>
    <font>
      <name val="Arial"/>
      <b val="1"/>
      <color rgb="00F0F4FF"/>
      <sz val="11"/>
    </font>
    <font>
      <name val="Arial"/>
      <color rgb="00F0F4FF"/>
      <sz val="9"/>
    </font>
    <font>
      <name val="Arial"/>
      <b val="1"/>
      <color rgb="0000FF88"/>
      <sz val="11"/>
    </font>
    <font>
      <name val="Arial"/>
      <b val="1"/>
      <color rgb="00FFD700"/>
      <sz val="11"/>
    </font>
    <font>
      <name val="Arial"/>
      <b val="1"/>
      <color rgb="00FF4D6D"/>
      <sz val="11"/>
    </font>
    <font>
      <name val="Arial"/>
      <color rgb="00FF4D6D"/>
      <sz val="9"/>
    </font>
    <font>
      <name val="Arial"/>
      <b val="1"/>
      <color rgb="0038BDF8"/>
      <sz val="11"/>
    </font>
    <font>
      <name val="Arial"/>
      <color rgb="0038BDF8"/>
      <sz val="9"/>
    </font>
    <font>
      <name val="Arial"/>
      <color rgb="008892A4"/>
      <sz val="9"/>
    </font>
  </fonts>
  <fills count="22">
    <fill>
      <patternFill/>
    </fill>
    <fill>
      <patternFill patternType="gray125"/>
    </fill>
    <fill>
      <patternFill patternType="solid">
        <fgColor rgb="FF050D1A"/>
        <bgColor rgb="FF0A1020"/>
      </patternFill>
    </fill>
    <fill>
      <patternFill patternType="solid">
        <fgColor rgb="FF332B00"/>
        <bgColor rgb="FF1F2937"/>
      </patternFill>
    </fill>
    <fill>
      <patternFill patternType="solid">
        <fgColor rgb="FF0D1117"/>
        <bgColor rgb="FF0A1020"/>
      </patternFill>
    </fill>
    <fill>
      <patternFill patternType="solid">
        <fgColor rgb="FF111827"/>
        <bgColor rgb="FF0F1623"/>
      </patternFill>
    </fill>
    <fill>
      <patternFill patternType="solid">
        <fgColor rgb="FF0F1623"/>
        <bgColor rgb="FF111827"/>
      </patternFill>
    </fill>
    <fill>
      <patternFill patternType="solid">
        <fgColor rgb="FF0A1020"/>
        <bgColor rgb="FF0D1117"/>
      </patternFill>
    </fill>
    <fill>
      <patternFill patternType="solid">
        <fgColor rgb="FF0A2E1A"/>
        <bgColor rgb="FF1F2937"/>
      </patternFill>
    </fill>
    <fill>
      <patternFill patternType="solid">
        <fgColor rgb="FF1A0810"/>
        <bgColor rgb="FF0D1117"/>
      </patternFill>
    </fill>
    <fill>
      <patternFill patternType="solid">
        <fgColor rgb="FF0A1F4D"/>
        <bgColor rgb="FF111827"/>
      </patternFill>
    </fill>
    <fill>
      <patternFill patternType="solid">
        <fgColor rgb="FF030712"/>
        <bgColor rgb="FF050D1A"/>
      </patternFill>
    </fill>
    <fill>
      <patternFill patternType="solid">
        <fgColor rgb="00030712"/>
      </patternFill>
    </fill>
    <fill>
      <patternFill patternType="solid">
        <fgColor rgb="00050D1A"/>
      </patternFill>
    </fill>
    <fill>
      <patternFill patternType="solid">
        <fgColor rgb="000D1117"/>
      </patternFill>
    </fill>
    <fill>
      <patternFill patternType="solid">
        <fgColor rgb="00111827"/>
      </patternFill>
    </fill>
    <fill>
      <patternFill patternType="solid">
        <fgColor rgb="000A2E1A"/>
      </patternFill>
    </fill>
    <fill>
      <patternFill patternType="solid">
        <fgColor rgb="00332B00"/>
      </patternFill>
    </fill>
    <fill>
      <patternFill patternType="solid">
        <fgColor rgb="000F1623"/>
      </patternFill>
    </fill>
    <fill>
      <patternFill patternType="solid">
        <fgColor rgb="000A1020"/>
      </patternFill>
    </fill>
    <fill>
      <patternFill patternType="solid">
        <fgColor rgb="001A0810"/>
      </patternFill>
    </fill>
    <fill>
      <patternFill patternType="solid">
        <fgColor rgb="000A1F4D"/>
      </patternFill>
    </fill>
  </fills>
  <borders count="6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  <border>
      <left/>
      <right/>
      <top/>
      <bottom style="thin">
        <color rgb="FF1F2937"/>
      </bottom>
      <diagonal/>
    </border>
    <border>
      <left style="thin">
        <color rgb="FF1F2937"/>
      </left>
      <right/>
      <top style="thin">
        <color rgb="FF1F2937"/>
      </top>
      <bottom/>
      <diagonal/>
    </border>
    <border>
      <left/>
      <right/>
      <top style="thin">
        <color rgb="FF1F2937"/>
      </top>
      <bottom/>
      <diagonal/>
    </border>
    <border>
      <left style="thin">
        <color rgb="FF1F2937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left" vertical="center"/>
    </xf>
    <xf numFmtId="4" fontId="24" fillId="6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left" vertical="center"/>
    </xf>
    <xf numFmtId="4" fontId="24" fillId="7" borderId="2" applyAlignment="1" pivotButton="0" quotePrefix="0" xfId="0">
      <alignment horizontal="center" vertical="center"/>
    </xf>
    <xf numFmtId="0" fontId="25" fillId="7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bottom"/>
    </xf>
    <xf numFmtId="1" fontId="26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bottom"/>
    </xf>
    <xf numFmtId="1" fontId="26" fillId="6" borderId="2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165" fontId="30" fillId="4" borderId="1" applyAlignment="1" pivotButton="0" quotePrefix="0" xfId="0">
      <alignment horizontal="center" vertical="center"/>
    </xf>
    <xf numFmtId="164" fontId="30" fillId="4" borderId="1" applyAlignment="1" pivotButton="0" quotePrefix="0" xfId="0">
      <alignment horizontal="center" vertical="center"/>
    </xf>
    <xf numFmtId="166" fontId="31" fillId="4" borderId="1" applyAlignment="1" pivotButton="0" quotePrefix="0" xfId="0">
      <alignment horizontal="center" vertical="center"/>
    </xf>
    <xf numFmtId="2" fontId="32" fillId="4" borderId="1" applyAlignment="1" pivotButton="0" quotePrefix="0" xfId="0">
      <alignment horizontal="center" vertical="center"/>
    </xf>
    <xf numFmtId="3" fontId="30" fillId="4" borderId="1" applyAlignment="1" pivotButton="0" quotePrefix="0" xfId="0">
      <alignment horizontal="center" vertical="center"/>
    </xf>
    <xf numFmtId="3" fontId="33" fillId="4" borderId="1" applyAlignment="1" pivotButton="0" quotePrefix="0" xfId="0">
      <alignment horizontal="center" vertical="center"/>
    </xf>
    <xf numFmtId="164" fontId="31" fillId="4" borderId="1" applyAlignment="1" pivotButton="0" quotePrefix="0" xfId="0">
      <alignment horizontal="center" vertical="center"/>
    </xf>
    <xf numFmtId="167" fontId="34" fillId="4" borderId="1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165" fontId="7" fillId="7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9" fillId="2" borderId="1" applyAlignment="1" pivotButton="0" quotePrefix="0" xfId="0">
      <alignment horizontal="center" vertical="center" wrapText="1"/>
    </xf>
    <xf numFmtId="165" fontId="24" fillId="6" borderId="2" applyAlignment="1" pivotButton="0" quotePrefix="0" xfId="0">
      <alignment horizontal="center" vertical="center"/>
    </xf>
    <xf numFmtId="168" fontId="24" fillId="6" borderId="2" applyAlignment="1" pivotButton="0" quotePrefix="0" xfId="0">
      <alignment horizontal="center" vertical="center"/>
    </xf>
    <xf numFmtId="164" fontId="24" fillId="6" borderId="2" applyAlignment="1" pivotButton="0" quotePrefix="0" xfId="0">
      <alignment horizontal="center" vertical="center"/>
    </xf>
    <xf numFmtId="165" fontId="24" fillId="7" borderId="2" applyAlignment="1" pivotButton="0" quotePrefix="0" xfId="0">
      <alignment horizontal="center" vertical="center"/>
    </xf>
    <xf numFmtId="168" fontId="24" fillId="7" borderId="2" applyAlignment="1" pivotButton="0" quotePrefix="0" xfId="0">
      <alignment horizontal="center" vertical="center"/>
    </xf>
    <xf numFmtId="164" fontId="24" fillId="7" borderId="2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41" fillId="2" borderId="1" applyAlignment="1" pivotButton="0" quotePrefix="0" xfId="0">
      <alignment horizontal="center" vertical="center" wrapText="1"/>
    </xf>
    <xf numFmtId="0" fontId="42" fillId="2" borderId="1" applyAlignment="1" pivotButton="0" quotePrefix="0" xfId="0">
      <alignment horizontal="center" vertical="center" wrapText="1"/>
    </xf>
    <xf numFmtId="1" fontId="43" fillId="6" borderId="2" applyAlignment="1" pivotButton="0" quotePrefix="0" xfId="0">
      <alignment horizontal="center" vertical="center"/>
    </xf>
    <xf numFmtId="165" fontId="44" fillId="6" borderId="2" applyAlignment="1" pivotButton="0" quotePrefix="0" xfId="0">
      <alignment horizontal="center" vertical="center"/>
    </xf>
    <xf numFmtId="0" fontId="45" fillId="6" borderId="2" applyAlignment="1" pivotButton="0" quotePrefix="0" xfId="0">
      <alignment horizontal="center" vertical="center"/>
    </xf>
    <xf numFmtId="1" fontId="43" fillId="7" borderId="2" applyAlignment="1" pivotButton="0" quotePrefix="0" xfId="0">
      <alignment horizontal="center" vertical="center"/>
    </xf>
    <xf numFmtId="165" fontId="44" fillId="7" borderId="2" applyAlignment="1" pivotButton="0" quotePrefix="0" xfId="0">
      <alignment horizontal="center" vertical="center"/>
    </xf>
    <xf numFmtId="0" fontId="45" fillId="7" borderId="2" applyAlignment="1" pivotButton="0" quotePrefix="0" xfId="0">
      <alignment horizontal="center" vertical="center"/>
    </xf>
    <xf numFmtId="0" fontId="46" fillId="2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/>
    </xf>
    <xf numFmtId="0" fontId="24" fillId="4" borderId="2" applyAlignment="1" pivotButton="0" quotePrefix="0" xfId="0">
      <alignment horizontal="left" vertical="center" wrapText="1"/>
    </xf>
    <xf numFmtId="0" fontId="47" fillId="4" borderId="2" applyAlignment="1" pivotButton="0" quotePrefix="0" xfId="0">
      <alignment horizontal="left" vertical="center"/>
    </xf>
    <xf numFmtId="164" fontId="48" fillId="4" borderId="2" applyAlignment="1" pivotButton="0" quotePrefix="0" xfId="0">
      <alignment horizontal="left" vertical="center" wrapText="1"/>
    </xf>
    <xf numFmtId="165" fontId="48" fillId="4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/>
    </xf>
    <xf numFmtId="0" fontId="43" fillId="3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9" fillId="4" borderId="0" applyAlignment="1" pivotButton="0" quotePrefix="0" xfId="0">
      <alignment horizontal="left" vertical="center" wrapText="1"/>
    </xf>
    <xf numFmtId="0" fontId="35" fillId="8" borderId="0" applyAlignment="1" pivotButton="0" quotePrefix="0" xfId="0">
      <alignment horizontal="left" vertical="center"/>
    </xf>
    <xf numFmtId="0" fontId="50" fillId="4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0" fontId="51" fillId="3" borderId="0" applyAlignment="1" pivotButton="0" quotePrefix="0" xfId="0">
      <alignment horizontal="left" vertical="center"/>
    </xf>
    <xf numFmtId="0" fontId="24" fillId="4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52" fillId="1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left" vertical="center"/>
    </xf>
    <xf numFmtId="4" fontId="24" fillId="6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left" vertical="center"/>
    </xf>
    <xf numFmtId="4" fontId="24" fillId="7" borderId="2" applyAlignment="1" pivotButton="0" quotePrefix="0" xfId="0">
      <alignment horizontal="center" vertical="center"/>
    </xf>
    <xf numFmtId="0" fontId="25" fillId="7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bottom"/>
    </xf>
    <xf numFmtId="1" fontId="26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bottom"/>
    </xf>
    <xf numFmtId="1" fontId="26" fillId="6" borderId="2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165" fontId="30" fillId="4" borderId="1" applyAlignment="1" pivotButton="0" quotePrefix="0" xfId="0">
      <alignment horizontal="center" vertical="center"/>
    </xf>
    <xf numFmtId="164" fontId="30" fillId="4" borderId="1" applyAlignment="1" pivotButton="0" quotePrefix="0" xfId="0">
      <alignment horizontal="center" vertical="center"/>
    </xf>
    <xf numFmtId="166" fontId="31" fillId="4" borderId="1" applyAlignment="1" pivotButton="0" quotePrefix="0" xfId="0">
      <alignment horizontal="center" vertical="center"/>
    </xf>
    <xf numFmtId="2" fontId="32" fillId="4" borderId="1" applyAlignment="1" pivotButton="0" quotePrefix="0" xfId="0">
      <alignment horizontal="center" vertical="center"/>
    </xf>
    <xf numFmtId="3" fontId="30" fillId="4" borderId="1" applyAlignment="1" pivotButton="0" quotePrefix="0" xfId="0">
      <alignment horizontal="center" vertical="center"/>
    </xf>
    <xf numFmtId="3" fontId="33" fillId="4" borderId="1" applyAlignment="1" pivotButton="0" quotePrefix="0" xfId="0">
      <alignment horizontal="center" vertical="center"/>
    </xf>
    <xf numFmtId="164" fontId="31" fillId="4" borderId="1" applyAlignment="1" pivotButton="0" quotePrefix="0" xfId="0">
      <alignment horizontal="center" vertical="center"/>
    </xf>
    <xf numFmtId="167" fontId="34" fillId="4" borderId="1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165" fontId="7" fillId="7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9" fillId="2" borderId="1" applyAlignment="1" pivotButton="0" quotePrefix="0" xfId="0">
      <alignment horizontal="center" vertical="center" wrapText="1"/>
    </xf>
    <xf numFmtId="165" fontId="24" fillId="6" borderId="2" applyAlignment="1" pivotButton="0" quotePrefix="0" xfId="0">
      <alignment horizontal="center" vertical="center"/>
    </xf>
    <xf numFmtId="168" fontId="24" fillId="6" borderId="2" applyAlignment="1" pivotButton="0" quotePrefix="0" xfId="0">
      <alignment horizontal="center" vertical="center"/>
    </xf>
    <xf numFmtId="164" fontId="24" fillId="6" borderId="2" applyAlignment="1" pivotButton="0" quotePrefix="0" xfId="0">
      <alignment horizontal="center" vertical="center"/>
    </xf>
    <xf numFmtId="165" fontId="24" fillId="7" borderId="2" applyAlignment="1" pivotButton="0" quotePrefix="0" xfId="0">
      <alignment horizontal="center" vertical="center"/>
    </xf>
    <xf numFmtId="168" fontId="24" fillId="7" borderId="2" applyAlignment="1" pivotButton="0" quotePrefix="0" xfId="0">
      <alignment horizontal="center" vertical="center"/>
    </xf>
    <xf numFmtId="164" fontId="24" fillId="7" borderId="2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41" fillId="2" borderId="1" applyAlignment="1" pivotButton="0" quotePrefix="0" xfId="0">
      <alignment horizontal="center" vertical="center" wrapText="1"/>
    </xf>
    <xf numFmtId="0" fontId="42" fillId="2" borderId="1" applyAlignment="1" pivotButton="0" quotePrefix="0" xfId="0">
      <alignment horizontal="center" vertical="center" wrapText="1"/>
    </xf>
    <xf numFmtId="1" fontId="43" fillId="6" borderId="2" applyAlignment="1" pivotButton="0" quotePrefix="0" xfId="0">
      <alignment horizontal="center" vertical="center"/>
    </xf>
    <xf numFmtId="165" fontId="44" fillId="6" borderId="2" applyAlignment="1" pivotButton="0" quotePrefix="0" xfId="0">
      <alignment horizontal="center" vertical="center"/>
    </xf>
    <xf numFmtId="0" fontId="45" fillId="6" borderId="2" applyAlignment="1" pivotButton="0" quotePrefix="0" xfId="0">
      <alignment horizontal="center" vertical="center"/>
    </xf>
    <xf numFmtId="1" fontId="43" fillId="7" borderId="2" applyAlignment="1" pivotButton="0" quotePrefix="0" xfId="0">
      <alignment horizontal="center" vertical="center"/>
    </xf>
    <xf numFmtId="165" fontId="44" fillId="7" borderId="2" applyAlignment="1" pivotButton="0" quotePrefix="0" xfId="0">
      <alignment horizontal="center" vertical="center"/>
    </xf>
    <xf numFmtId="0" fontId="45" fillId="7" borderId="2" applyAlignment="1" pivotButton="0" quotePrefix="0" xfId="0">
      <alignment horizontal="center" vertical="center"/>
    </xf>
    <xf numFmtId="0" fontId="46" fillId="2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7" fillId="4" borderId="2" applyAlignment="1" pivotButton="0" quotePrefix="0" xfId="0">
      <alignment horizontal="left" vertical="center"/>
    </xf>
    <xf numFmtId="0" fontId="24" fillId="4" borderId="2" applyAlignment="1" pivotButton="0" quotePrefix="0" xfId="0">
      <alignment horizontal="left" vertical="center" wrapText="1"/>
    </xf>
    <xf numFmtId="0" fontId="47" fillId="4" borderId="2" applyAlignment="1" pivotButton="0" quotePrefix="0" xfId="0">
      <alignment horizontal="left" vertical="center"/>
    </xf>
    <xf numFmtId="164" fontId="48" fillId="4" borderId="2" applyAlignment="1" pivotButton="0" quotePrefix="0" xfId="0">
      <alignment horizontal="left" vertical="center" wrapText="1"/>
    </xf>
    <xf numFmtId="165" fontId="48" fillId="4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/>
    </xf>
    <xf numFmtId="0" fontId="43" fillId="3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9" fillId="4" borderId="0" applyAlignment="1" pivotButton="0" quotePrefix="0" xfId="0">
      <alignment horizontal="left" vertical="center" wrapText="1"/>
    </xf>
    <xf numFmtId="0" fontId="35" fillId="8" borderId="0" applyAlignment="1" pivotButton="0" quotePrefix="0" xfId="0">
      <alignment horizontal="left" vertical="center"/>
    </xf>
    <xf numFmtId="0" fontId="50" fillId="4" borderId="0" applyAlignment="1" pivotButton="0" quotePrefix="0" xfId="0">
      <alignment horizontal="right" vertical="center"/>
    </xf>
    <xf numFmtId="0" fontId="51" fillId="3" borderId="0" applyAlignment="1" pivotButton="0" quotePrefix="0" xfId="0">
      <alignment horizontal="left" vertical="center"/>
    </xf>
    <xf numFmtId="0" fontId="24" fillId="4" borderId="3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3" fillId="13" borderId="0" applyAlignment="1" pivotButton="0" quotePrefix="0" xfId="0">
      <alignment horizontal="center" vertical="center"/>
    </xf>
    <xf numFmtId="0" fontId="54" fillId="14" borderId="0" applyAlignment="1" pivotButton="0" quotePrefix="0" xfId="0">
      <alignment horizontal="left" vertical="center" wrapText="1"/>
    </xf>
    <xf numFmtId="0" fontId="55" fillId="15" borderId="0" applyAlignment="1" pivotButton="0" quotePrefix="0" xfId="0">
      <alignment horizontal="left" vertical="center" wrapText="1"/>
    </xf>
    <xf numFmtId="0" fontId="56" fillId="16" borderId="0" applyAlignment="1" pivotButton="0" quotePrefix="0" xfId="0">
      <alignment horizontal="left" vertical="center" wrapText="1"/>
    </xf>
    <xf numFmtId="0" fontId="55" fillId="14" borderId="0" applyAlignment="1" pivotButton="0" quotePrefix="0" xfId="0">
      <alignment horizontal="left" vertical="center" wrapText="1"/>
    </xf>
    <xf numFmtId="0" fontId="57" fillId="17" borderId="0" applyAlignment="1" pivotButton="0" quotePrefix="0" xfId="0">
      <alignment horizontal="left" vertical="center" wrapText="1"/>
    </xf>
    <xf numFmtId="0" fontId="55" fillId="18" borderId="0" applyAlignment="1" pivotButton="0" quotePrefix="0" xfId="0">
      <alignment horizontal="left" vertical="center" wrapText="1"/>
    </xf>
    <xf numFmtId="0" fontId="55" fillId="19" borderId="0" applyAlignment="1" pivotButton="0" quotePrefix="0" xfId="0">
      <alignment horizontal="left" vertical="center" wrapText="1"/>
    </xf>
    <xf numFmtId="0" fontId="58" fillId="20" borderId="0" applyAlignment="1" pivotButton="0" quotePrefix="0" xfId="0">
      <alignment horizontal="left" vertical="center" wrapText="1"/>
    </xf>
    <xf numFmtId="0" fontId="59" fillId="20" borderId="0" applyAlignment="1" pivotButton="0" quotePrefix="0" xfId="0">
      <alignment horizontal="left" vertical="center" wrapText="1"/>
    </xf>
    <xf numFmtId="0" fontId="60" fillId="21" borderId="0" applyAlignment="1" pivotButton="0" quotePrefix="0" xfId="0">
      <alignment horizontal="left" vertical="center" wrapText="1"/>
    </xf>
    <xf numFmtId="0" fontId="61" fillId="21" borderId="0" applyAlignment="1" pivotButton="0" quotePrefix="0" xfId="0">
      <alignment horizontal="left" vertical="center" wrapText="1"/>
    </xf>
    <xf numFmtId="0" fontId="62" fillId="12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0F4FF"/>
      <rgbColor rgb="FFFF0000"/>
      <rgbColor rgb="FF00C853"/>
      <rgbColor rgb="FF0000FF"/>
      <rgbColor rgb="FFFFFF00"/>
      <rgbColor rgb="FFAA00FF"/>
      <rgbColor rgb="FF00FF88"/>
      <rgbColor rgb="FF0D1117"/>
      <rgbColor rgb="FF008000"/>
      <rgbColor rgb="FF0A1020"/>
      <rgbColor rgb="FF809B49"/>
      <rgbColor rgb="FF0F1623"/>
      <rgbColor rgb="FF4F81BD"/>
      <rgbColor rgb="FFAABAD7"/>
      <rgbColor rgb="FF878787"/>
      <rgbColor rgb="FF4BACC6"/>
      <rgbColor rgb="FF9F423F"/>
      <rgbColor rgb="FFFFFFCC"/>
      <rgbColor rgb="FFCCFFFF"/>
      <rgbColor rgb="FF1A0810"/>
      <rgbColor rgb="FFFF8C42"/>
      <rgbColor rgb="FF0066CC"/>
      <rgbColor rgb="FFD9D9D9"/>
      <rgbColor rgb="FF050D1A"/>
      <rgbColor rgb="FFFF00FF"/>
      <rgbColor rgb="FFFFFF00"/>
      <rgbColor rgb="FF00FFFF"/>
      <rgbColor rgb="FF030712"/>
      <rgbColor rgb="FF111827"/>
      <rgbColor rgb="FF008080"/>
      <rgbColor rgb="FF0000FF"/>
      <rgbColor rgb="FF00CCFF"/>
      <rgbColor rgb="FFCCFFFF"/>
      <rgbColor rgb="FFCCFFCC"/>
      <rgbColor rgb="FFFFFF99"/>
      <rgbColor rgb="FF99CCFF"/>
      <rgbColor rgb="FFFF4D6D"/>
      <rgbColor rgb="FFCC99FF"/>
      <rgbColor rgb="FFFFCC99"/>
      <rgbColor rgb="FF416A9C"/>
      <rgbColor rgb="FF38BDF8"/>
      <rgbColor rgb="FF9BBB59"/>
      <rgbColor rgb="FFFFD700"/>
      <rgbColor rgb="FFF79646"/>
      <rgbColor rgb="FFCC7C3A"/>
      <rgbColor rgb="FF8064A2"/>
      <rgbColor rgb="FF8892A4"/>
      <rgbColor rgb="FF0A1F4D"/>
      <rgbColor rgb="FF3E8EA4"/>
      <rgbColor rgb="FF0A2E1A"/>
      <rgbColor rgb="FF332B00"/>
      <rgbColor rgb="FF993300"/>
      <rgbColor rgb="FFC0504D"/>
      <rgbColor rgb="FF6A5286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Equity Curve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DASHBOARD!D6</f>
              <strCache>
                <ptCount val="1"/>
                <pt idx="0">
                  <v>Cumulative PnL</v>
                </pt>
              </strCache>
            </strRef>
          </tx>
          <spPr>
            <a:solidFill xmlns:a="http://schemas.openxmlformats.org/drawingml/2006/main">
              <a:srgbClr val="00ff88"/>
            </a:solidFill>
            <a:ln xmlns:a="http://schemas.openxmlformats.org/drawingml/2006/main" w="20160">
              <a:solidFill>
                <a:srgbClr val="00ff8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val>
            <numRef>
              <f>DASHBOARD!$D$7:$D$106</f>
              <numCache>
                <formatCode>\+#,##0;\-#,##0</formatCode>
                <ptCount val="100"/>
                <pt idx="0">
                  <v>200</v>
                </pt>
                <pt idx="1">
                  <v>350</v>
                </pt>
                <pt idx="2">
                  <v>100</v>
                </pt>
                <pt idx="3">
                  <v>230</v>
                </pt>
                <pt idx="4">
                  <v>480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7696543"/>
        <axId val="65112643"/>
      </lineChart>
      <catAx>
        <axId val="576965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5112643"/>
        <crosses val="autoZero"/>
        <auto val="1"/>
        <lblAlgn val="ctr"/>
        <lblOffset val="100"/>
        <noMultiLvlLbl val="0"/>
      </catAx>
      <valAx>
        <axId val="6511264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+#,##0;\-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769654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Emotion Distribution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PSYCHOLOGY_LOG!B2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16a9c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f423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09b4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a528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e8ea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c7c3a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7964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aabad7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8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9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PSYCHOLOGY_LOG!$A$3:$A$15</f>
              <strCache>
                <ptCount val="13"/>
                <pt idx="0">
                  <v>Confident</v>
                </pt>
                <pt idx="1">
                  <v>Disciplined</v>
                </pt>
                <pt idx="2">
                  <v>Calm</v>
                </pt>
                <pt idx="3">
                  <v>Neutral</v>
                </pt>
                <pt idx="4">
                  <v>Fearful</v>
                </pt>
                <pt idx="5">
                  <v>Anxious</v>
                </pt>
                <pt idx="6">
                  <v>Greedy</v>
                </pt>
                <pt idx="7">
                  <v>Revenge</v>
                </pt>
                <pt idx="8">
                  <v>FOMO</v>
                </pt>
                <pt idx="9">
                  <v>Overconfident</v>
                </pt>
                <pt idx="10">
                  <v>Frustrated</v>
                </pt>
                <pt idx="11">
                  <v>Satisfied</v>
                </pt>
                <pt idx="12">
                  <v>Regretful</v>
                </pt>
              </strCache>
            </strRef>
          </cat>
          <val>
            <numRef>
              <f>PSYCHOLOGY_LOG!$B$3:$B$15</f>
              <numCache>
                <formatCode>0</formatCode>
                <ptCount val="13"/>
                <pt idx="0">
                  <v>2</v>
                </pt>
                <pt idx="1">
                  <v>1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107</row>
      <rowOff>0</rowOff>
    </from>
    <to>
      <col>7</col>
      <colOff>291960</colOff>
      <row>125</row>
      <rowOff>170640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19</row>
      <rowOff>0</rowOff>
    </from>
    <to>
      <col>5</col>
      <colOff>199080</colOff>
      <row>39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FF88"/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88" customWidth="1" style="98" min="1" max="1"/>
  </cols>
  <sheetData>
    <row r="1" ht="34" customHeight="1" s="98">
      <c r="A1" s="198" t="inlineStr">
        <is>
          <t>⬡  AI TRADING JOURNAL COACH  ·  Basic Edition (₹499)  ·  thetradingmindset26  ·  @thetradingmindset26</t>
        </is>
      </c>
    </row>
    <row r="3" ht="24" customHeight="1" s="98">
      <c r="A3" s="199" t="inlineStr">
        <is>
          <t>Welcome to your AI Trading Journal Coach.</t>
        </is>
      </c>
    </row>
    <row r="4" ht="28" customHeight="1" s="98">
      <c r="A4" s="200" t="inlineStr">
        <is>
          <t>This journal tracks your trades, your emotions, your mistakes, and your setups — and shows you exactly where your money is going and why.</t>
        </is>
      </c>
    </row>
    <row r="5" ht="8" customHeight="1" s="98"/>
    <row r="6" ht="24" customHeight="1" s="98">
      <c r="A6" s="201" t="inlineStr">
        <is>
          <t>WHAT IS INSIDE THIS JOURNAL:</t>
        </is>
      </c>
    </row>
    <row r="7" ht="20" customHeight="1" s="98">
      <c r="A7" s="202" t="inlineStr">
        <is>
          <t>✦  TRADE_LOG  —  Log every trade — 13 columns with dropdowns. Quality score auto-calculates.</t>
        </is>
      </c>
    </row>
    <row r="8" ht="20" customHeight="1" s="98">
      <c r="A8" s="200" t="inlineStr">
        <is>
          <t>✦  DASHBOARD  —  10 live KPIs: Win Rate, Profit Factor, Discipline %, Expectancy, Equity Curve. All automatic.</t>
        </is>
      </c>
    </row>
    <row r="9" ht="20" customHeight="1" s="98">
      <c r="A9" s="202" t="inlineStr">
        <is>
          <t>✦  SETUP_ANALYSIS  —  Every setup ranked by Expected Value. Find out which setups actually make you money.</t>
        </is>
      </c>
    </row>
    <row r="10" ht="20" customHeight="1" s="98">
      <c r="A10" s="200" t="inlineStr">
        <is>
          <t>✦  PSYCHOLOGY_LOG  —  Emotion frequency table and pie chart. Tracks your emotional patterns automatically.</t>
        </is>
      </c>
    </row>
    <row r="11" ht="20" customHeight="1" s="98">
      <c r="A11" s="202" t="inlineStr">
        <is>
          <t>✦  WEEKLY_REVIEW  —  Type your week-end date. 5 metrics auto-calculate. Add your weekly reflection notes.</t>
        </is>
      </c>
    </row>
    <row r="12" ht="20" customHeight="1" s="98">
      <c r="A12" s="200" t="inlineStr">
        <is>
          <t>✦  AI_PROMPT  —  Pre-written coaching prompt with your live metrics. Copy and paste into any free AI.</t>
        </is>
      </c>
    </row>
    <row r="14" ht="24" customHeight="1" s="98">
      <c r="A14" s="203" t="inlineStr">
        <is>
          <t>HOW TO USE THIS JOURNAL — 3 STEPS ONLY:</t>
        </is>
      </c>
    </row>
    <row r="15" ht="22" customHeight="1" s="98">
      <c r="A15" s="204" t="inlineStr">
        <is>
          <t>STEP 1  →  Go to the TRADE_LOG sheet. Delete the sample rows (rows 4 to 13). Start logging your own trades.</t>
        </is>
      </c>
    </row>
    <row r="16" ht="22" customHeight="1" s="98">
      <c r="A16" s="205" t="inlineStr">
        <is>
          <t>STEP 2  →  Fill one complete row per trade using the dropdowns. Takes 2–3 minutes per trade.</t>
        </is>
      </c>
    </row>
    <row r="17" ht="22" customHeight="1" s="98">
      <c r="A17" s="204" t="inlineStr">
        <is>
          <t>STEP 3  →  Check your DASHBOARD daily. Check PSYCHOLOGY_LOG weekly. Let your data guide your next session.</t>
        </is>
      </c>
    </row>
    <row r="19" ht="24" customHeight="1" s="98">
      <c r="A19" s="206" t="inlineStr">
        <is>
          <t>IMPORTANT — DO NOT TYPE IN THESE SHEETS:</t>
        </is>
      </c>
    </row>
    <row r="20" ht="20" customHeight="1" s="98">
      <c r="A20" s="207" t="inlineStr">
        <is>
          <t>✗  DASHBOARD — All values calculate automatically from your trades. Never type here.</t>
        </is>
      </c>
    </row>
    <row r="21" ht="20" customHeight="1" s="98">
      <c r="A21" s="207" t="inlineStr">
        <is>
          <t>✗  SETUP_ANALYSIS — Calculated automatically. Never type here.</t>
        </is>
      </c>
    </row>
    <row r="22" ht="20" customHeight="1" s="98">
      <c r="A22" s="207" t="inlineStr">
        <is>
          <t>✗  PSYCHOLOGY_LOG — Calculated automatically. Never type here.</t>
        </is>
      </c>
    </row>
    <row r="23" ht="20" customHeight="1" s="98">
      <c r="A23" s="207" t="inlineStr">
        <is>
          <t>✗  Columns N and O in TRADE_LOG — These are auto-calculated scores. Never type here.</t>
        </is>
      </c>
    </row>
    <row r="25" ht="24" customHeight="1" s="98">
      <c r="A25" s="208" t="inlineStr">
        <is>
          <t>SUPPORT:</t>
        </is>
      </c>
    </row>
    <row r="26" ht="20" customHeight="1" s="98">
      <c r="A26" s="209" t="inlineStr">
        <is>
          <t>If anything is not working, DM us on Instagram: @thetradingmindset26</t>
        </is>
      </c>
    </row>
    <row r="27" ht="20" customHeight="1" s="98">
      <c r="A27" s="209" t="inlineStr">
        <is>
          <t>Purchase link: gumroad.com/l/tmm-basic  ·  instamojo.com/@thetradingmindset26/basic</t>
        </is>
      </c>
    </row>
    <row r="28" ht="20" customHeight="1" s="98">
      <c r="A28" s="209" t="inlineStr">
        <is>
          <t>We respond within 24 hours.</t>
        </is>
      </c>
    </row>
    <row r="30" ht="24" customHeight="1" s="98">
      <c r="A30" s="206" t="inlineStr">
        <is>
          <t>⚠  IMPORTANT — PLEASE READ:</t>
        </is>
      </c>
    </row>
    <row r="31" ht="20" customHeight="1" s="98">
      <c r="A31" s="207" t="inlineStr">
        <is>
          <t>This journal is a personal self-improvement tool for educational purposes only.</t>
        </is>
      </c>
    </row>
    <row r="32" ht="20" customHeight="1" s="98">
      <c r="A32" s="207" t="inlineStr">
        <is>
          <t>It does NOT provide investment advice, trading signals, or buy/sell recommendations.</t>
        </is>
      </c>
    </row>
    <row r="33" ht="20" customHeight="1" s="98">
      <c r="A33" s="207" t="inlineStr">
        <is>
          <t>Trading involves substantial risk of financial loss. Past performance does not guarantee future results.</t>
        </is>
      </c>
    </row>
    <row r="34" ht="20" customHeight="1" s="98">
      <c r="A34" s="207" t="inlineStr">
        <is>
          <t>AI coaching output is for personal self-review only — not a SEBI-registered advisory service.</t>
        </is>
      </c>
    </row>
    <row r="35" ht="20" customHeight="1" s="98">
      <c r="A35" s="207" t="inlineStr">
        <is>
          <t>For stocks: AI analysis may be less accurate due to company-specific events and corporate actions.</t>
        </is>
      </c>
    </row>
    <row r="36" ht="20" customHeight="1" s="98">
      <c r="A36" s="207" t="inlineStr">
        <is>
          <t>Consult a SEBI-registered investment adviser before making financial decisions.  sebi.gov.in</t>
        </is>
      </c>
    </row>
    <row r="38" ht="18" customHeight="1" s="98">
      <c r="A38" s="210" t="inlineStr">
        <is>
          <t>© thetradingmindset26 2026  ·  Basic Edition (₹499)  ·  @thetradingmindset26  ·  Personal use only  ·  Redistribution prohibited.</t>
        </is>
      </c>
    </row>
  </sheetData>
  <mergeCells count="30">
    <mergeCell ref="A8"/>
    <mergeCell ref="A22"/>
    <mergeCell ref="A17"/>
    <mergeCell ref="A35"/>
    <mergeCell ref="A4"/>
    <mergeCell ref="A20"/>
    <mergeCell ref="A38"/>
    <mergeCell ref="A10"/>
    <mergeCell ref="A28"/>
    <mergeCell ref="A19"/>
    <mergeCell ref="A31"/>
    <mergeCell ref="A34"/>
    <mergeCell ref="A9"/>
    <mergeCell ref="A30"/>
    <mergeCell ref="A15"/>
    <mergeCell ref="A36"/>
    <mergeCell ref="A11"/>
    <mergeCell ref="A6"/>
    <mergeCell ref="A7"/>
    <mergeCell ref="A25"/>
    <mergeCell ref="A16"/>
    <mergeCell ref="A27"/>
    <mergeCell ref="A12"/>
    <mergeCell ref="A3"/>
    <mergeCell ref="A21"/>
    <mergeCell ref="A26"/>
    <mergeCell ref="A33"/>
    <mergeCell ref="A14"/>
    <mergeCell ref="A23"/>
    <mergeCell ref="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tabColor rgb="FF00C853"/>
    <outlinePr summaryBelow="1" summaryRight="1"/>
    <pageSetUpPr fitToPage="0"/>
  </sheetPr>
  <dimension ref="A1:M3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97" min="1" max="1"/>
    <col width="15" customWidth="1" style="97" min="2" max="2"/>
    <col width="10" customWidth="1" style="97" min="3" max="3"/>
    <col width="17" customWidth="1" style="97" min="4" max="4"/>
    <col width="13" customWidth="1" style="97" min="5" max="5"/>
    <col width="10" customWidth="1" style="97" min="6" max="7"/>
    <col width="12" customWidth="1" style="97" min="8" max="8"/>
    <col width="8" customWidth="1" style="97" min="9" max="9"/>
    <col width="9" customWidth="1" style="97" min="10" max="10"/>
    <col width="14" customWidth="1" style="97" min="11" max="11"/>
    <col width="11" customWidth="1" style="97" min="12" max="12"/>
    <col width="38" customWidth="1" style="97" min="13" max="13"/>
  </cols>
  <sheetData>
    <row r="1" ht="25.5" customHeight="1" s="98">
      <c r="A1" s="114" t="inlineStr">
        <is>
          <t>⬡  TRADE LOG  ·  BASIC EDITION  ·  thetradingmindset26  ·  Fill one row per trade</t>
        </is>
      </c>
    </row>
    <row r="2" ht="15.75" customHeight="1" s="98">
      <c r="A2" s="115" t="inlineStr">
        <is>
          <t>✦ TRADE QUALITY (col L) and DECISION SCORE (col M) are AUTO-CALCULATED from your data. Do NOT type in those columns.  |  Use dropdowns for all other columns.</t>
        </is>
      </c>
    </row>
    <row r="3" ht="33.75" customHeight="1" s="98">
      <c r="A3" s="116" t="inlineStr">
        <is>
          <t>DATE</t>
        </is>
      </c>
      <c r="B3" s="117" t="inlineStr">
        <is>
          <t>INSTRUMENT</t>
        </is>
      </c>
      <c r="C3" s="117" t="inlineStr">
        <is>
          <t>DIRECTION</t>
        </is>
      </c>
      <c r="D3" s="117" t="inlineStr">
        <is>
          <t>SETUP TYPE</t>
        </is>
      </c>
      <c r="E3" s="118" t="inlineStr">
        <is>
          <t>MARKET
COND.</t>
        </is>
      </c>
      <c r="F3" s="119" t="inlineStr">
        <is>
          <t>ENTRY</t>
        </is>
      </c>
      <c r="G3" s="119" t="inlineStr">
        <is>
          <t>EXIT</t>
        </is>
      </c>
      <c r="H3" s="120" t="inlineStr">
        <is>
          <t>PnL (pts)</t>
        </is>
      </c>
      <c r="I3" s="120" t="inlineStr">
        <is>
          <t>R:R</t>
        </is>
      </c>
      <c r="J3" s="121" t="inlineStr">
        <is>
          <t>RULE?</t>
        </is>
      </c>
      <c r="K3" s="122" t="inlineStr">
        <is>
          <t>EMOTION
BEFORE</t>
        </is>
      </c>
      <c r="L3" s="123" t="inlineStr">
        <is>
          <t>TRADE
QUALITY
(AUTO)</t>
        </is>
      </c>
      <c r="M3" s="116" t="inlineStr">
        <is>
          <t>NOTES</t>
        </is>
      </c>
    </row>
    <row r="4" ht="18" customHeight="1" s="98">
      <c r="A4" s="124" t="inlineStr">
        <is>
          <t>2026-03-20</t>
        </is>
      </c>
      <c r="B4" s="124" t="inlineStr">
        <is>
          <t>Bank Nifty</t>
        </is>
      </c>
      <c r="C4" s="124" t="inlineStr">
        <is>
          <t>Long</t>
        </is>
      </c>
      <c r="D4" s="125" t="inlineStr">
        <is>
          <t>Breakout</t>
        </is>
      </c>
      <c r="E4" s="124" t="inlineStr">
        <is>
          <t>Trending</t>
        </is>
      </c>
      <c r="F4" s="126" t="n">
        <v>47850</v>
      </c>
      <c r="G4" s="126" t="n">
        <v>48050</v>
      </c>
      <c r="H4" s="127" t="n">
        <v>200</v>
      </c>
      <c r="I4" s="124" t="n">
        <v>2</v>
      </c>
      <c r="J4" s="124" t="inlineStr">
        <is>
          <t>Yes</t>
        </is>
      </c>
      <c r="K4" s="124" t="inlineStr">
        <is>
          <t>Confident</t>
        </is>
      </c>
      <c r="L4" s="128">
        <f>IFERROR(MAX(1,MIN(10,5+IF(I4&gt;=2,2,IF(I4&gt;=1.5,1,IF(I4&lt;1,-1,0)))+IF(J4="Yes",1,-1)+IF(OR(E4="Trending",E4="Volatile"),1,0))),"")</f>
        <v/>
      </c>
      <c r="M4" s="125" t="inlineStr">
        <is>
          <t>Clean BO above resistance</t>
        </is>
      </c>
    </row>
    <row r="5" ht="18" customHeight="1" s="98">
      <c r="A5" s="129" t="inlineStr">
        <is>
          <t>2026-03-20</t>
        </is>
      </c>
      <c r="B5" s="129" t="inlineStr">
        <is>
          <t>Nifty 50</t>
        </is>
      </c>
      <c r="C5" s="129" t="inlineStr">
        <is>
          <t>Short</t>
        </is>
      </c>
      <c r="D5" s="130" t="inlineStr">
        <is>
          <t>Reversal</t>
        </is>
      </c>
      <c r="E5" s="129" t="inlineStr">
        <is>
          <t>Ranging</t>
        </is>
      </c>
      <c r="F5" s="131" t="n">
        <v>22400</v>
      </c>
      <c r="G5" s="131" t="n">
        <v>22250</v>
      </c>
      <c r="H5" s="127" t="n">
        <v>150</v>
      </c>
      <c r="I5" s="129" t="n">
        <v>1.5</v>
      </c>
      <c r="J5" s="129" t="inlineStr">
        <is>
          <t>Yes</t>
        </is>
      </c>
      <c r="K5" s="129" t="inlineStr">
        <is>
          <t>Disciplined</t>
        </is>
      </c>
      <c r="L5" s="132">
        <f>IFERROR(MAX(1,MIN(10,5+IF(I5&gt;=2,2,IF(I5&gt;=1.5,1,IF(I5&lt;1,-1,0)))+IF(J5="Yes",1,-1)+IF(OR(E5="Trending",E5="Volatile"),1,0))),"")</f>
        <v/>
      </c>
      <c r="M5" s="130" t="inlineStr">
        <is>
          <t>OB rejection at HOD</t>
        </is>
      </c>
    </row>
    <row r="6" ht="18" customHeight="1" s="98">
      <c r="A6" s="124" t="inlineStr">
        <is>
          <t>2026-03-21</t>
        </is>
      </c>
      <c r="B6" s="124" t="inlineStr">
        <is>
          <t>Bank Nifty</t>
        </is>
      </c>
      <c r="C6" s="124" t="inlineStr">
        <is>
          <t>Short</t>
        </is>
      </c>
      <c r="D6" s="125" t="inlineStr">
        <is>
          <t>Liquidity Grab</t>
        </is>
      </c>
      <c r="E6" s="124" t="inlineStr">
        <is>
          <t>Volatile</t>
        </is>
      </c>
      <c r="F6" s="126" t="n">
        <v>48100</v>
      </c>
      <c r="G6" s="126" t="n">
        <v>48350</v>
      </c>
      <c r="H6" s="133" t="n">
        <v>-250</v>
      </c>
      <c r="I6" s="124" t="n">
        <v>0.8</v>
      </c>
      <c r="J6" s="124" t="inlineStr">
        <is>
          <t>No</t>
        </is>
      </c>
      <c r="K6" s="124" t="inlineStr">
        <is>
          <t>Fearful</t>
        </is>
      </c>
      <c r="L6" s="128">
        <f>IFERROR(MAX(1,MIN(10,5+IF(I6&gt;=2,2,IF(I6&gt;=1.5,1,IF(I6&lt;1,-1,0)))+IF(J6="Yes",1,-1)+IF(OR(E6="Trending",E6="Volatile"),1,0))),"")</f>
        <v/>
      </c>
      <c r="M6" s="125" t="inlineStr">
        <is>
          <t>SL moved</t>
        </is>
      </c>
    </row>
    <row r="7" ht="18" customHeight="1" s="98">
      <c r="A7" s="129" t="inlineStr">
        <is>
          <t>2026-03-24</t>
        </is>
      </c>
      <c r="B7" s="129" t="inlineStr">
        <is>
          <t>Nifty 50</t>
        </is>
      </c>
      <c r="C7" s="129" t="inlineStr">
        <is>
          <t>Long</t>
        </is>
      </c>
      <c r="D7" s="130" t="inlineStr">
        <is>
          <t>VWAP Reversion</t>
        </is>
      </c>
      <c r="E7" s="129" t="inlineStr">
        <is>
          <t>Ranging</t>
        </is>
      </c>
      <c r="F7" s="131" t="n">
        <v>22180</v>
      </c>
      <c r="G7" s="131" t="n">
        <v>22310</v>
      </c>
      <c r="H7" s="127" t="n">
        <v>130</v>
      </c>
      <c r="I7" s="129" t="n">
        <v>1.8</v>
      </c>
      <c r="J7" s="129" t="inlineStr">
        <is>
          <t>Yes</t>
        </is>
      </c>
      <c r="K7" s="129" t="inlineStr">
        <is>
          <t>Calm</t>
        </is>
      </c>
      <c r="L7" s="132">
        <f>IFERROR(MAX(1,MIN(10,5+IF(I7&gt;=2,2,IF(I7&gt;=1.5,1,IF(I7&lt;1,-1,0)))+IF(J7="Yes",1,-1)+IF(OR(E7="Trending",E7="Volatile"),1,0))),"")</f>
        <v/>
      </c>
      <c r="M7" s="130" t="inlineStr">
        <is>
          <t>VWAP reclaim clean</t>
        </is>
      </c>
    </row>
    <row r="8" ht="18" customHeight="1" s="98">
      <c r="A8" s="124" t="inlineStr">
        <is>
          <t>2026-03-24</t>
        </is>
      </c>
      <c r="B8" s="124" t="inlineStr">
        <is>
          <t>Bank Nifty</t>
        </is>
      </c>
      <c r="C8" s="124" t="inlineStr">
        <is>
          <t>Short</t>
        </is>
      </c>
      <c r="D8" s="125" t="inlineStr">
        <is>
          <t>Breakdown</t>
        </is>
      </c>
      <c r="E8" s="124" t="inlineStr">
        <is>
          <t>Trending</t>
        </is>
      </c>
      <c r="F8" s="126" t="n">
        <v>47700</v>
      </c>
      <c r="G8" s="126" t="n">
        <v>47450</v>
      </c>
      <c r="H8" s="127" t="n">
        <v>250</v>
      </c>
      <c r="I8" s="124" t="n">
        <v>2.5</v>
      </c>
      <c r="J8" s="124" t="inlineStr">
        <is>
          <t>Yes</t>
        </is>
      </c>
      <c r="K8" s="124" t="inlineStr">
        <is>
          <t>Confident</t>
        </is>
      </c>
      <c r="L8" s="128">
        <f>IFERROR(MAX(1,MIN(10,5+IF(I8&gt;=2,2,IF(I8&gt;=1.5,1,IF(I8&lt;1,-1,0)))+IF(J8="Yes",1,-1)+IF(OR(E8="Trending",E8="Volatile"),1,0))),"")</f>
        <v/>
      </c>
      <c r="M8" s="125" t="inlineStr">
        <is>
          <t>BD below support</t>
        </is>
      </c>
    </row>
    <row r="9" ht="18" customHeight="1" s="98">
      <c r="A9" s="134" t="n"/>
      <c r="B9" s="134" t="n"/>
      <c r="C9" s="134" t="n"/>
      <c r="D9" s="134" t="n"/>
      <c r="E9" s="134" t="n"/>
      <c r="F9" s="134" t="n"/>
      <c r="G9" s="134" t="n"/>
      <c r="H9" s="134" t="n"/>
      <c r="I9" s="134" t="n"/>
      <c r="J9" s="134" t="n"/>
      <c r="K9" s="134" t="n"/>
      <c r="L9" s="135">
        <f>IFERROR(MAX(1,MIN(10,5+IF(I9&gt;=2,2,IF(I9&gt;=1.5,1,IF(I9&lt;1,-1,0)))+IF(J9="Yes",1,-1)+IF(OR(E9="Trending",E9="Volatile"),1,0))),"")</f>
        <v/>
      </c>
      <c r="M9" s="134" t="n"/>
    </row>
    <row r="10" ht="18" customHeight="1" s="98">
      <c r="A10" s="136" t="n"/>
      <c r="B10" s="136" t="n"/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36" t="n"/>
      <c r="L10" s="137">
        <f>IFERROR(MAX(1,MIN(10,5+IF(I10&gt;=2,2,IF(I10&gt;=1.5,1,IF(I10&lt;1,-1,0)))+IF(J10="Yes",1,-1)+IF(OR(E10="Trending",E10="Volatile"),1,0))),"")</f>
        <v/>
      </c>
      <c r="M10" s="136" t="n"/>
    </row>
    <row r="11" ht="18" customHeight="1" s="98">
      <c r="A11" s="134" t="n"/>
      <c r="B11" s="134" t="n"/>
      <c r="C11" s="134" t="n"/>
      <c r="D11" s="134" t="n"/>
      <c r="E11" s="134" t="n"/>
      <c r="F11" s="134" t="n"/>
      <c r="G11" s="134" t="n"/>
      <c r="H11" s="134" t="n"/>
      <c r="I11" s="134" t="n"/>
      <c r="J11" s="134" t="n"/>
      <c r="K11" s="134" t="n"/>
      <c r="L11" s="135">
        <f>IFERROR(MAX(1,MIN(10,5+IF(I11&gt;=2,2,IF(I11&gt;=1.5,1,IF(I11&lt;1,-1,0)))+IF(J11="Yes",1,-1)+IF(OR(E11="Trending",E11="Volatile"),1,0))),"")</f>
        <v/>
      </c>
      <c r="M11" s="134" t="n"/>
    </row>
    <row r="12" ht="18" customHeight="1" s="98">
      <c r="A12" s="136" t="n"/>
      <c r="B12" s="136" t="n"/>
      <c r="C12" s="136" t="n"/>
      <c r="D12" s="136" t="n"/>
      <c r="E12" s="136" t="n"/>
      <c r="F12" s="136" t="n"/>
      <c r="G12" s="136" t="n"/>
      <c r="H12" s="136" t="n"/>
      <c r="I12" s="136" t="n"/>
      <c r="J12" s="136" t="n"/>
      <c r="K12" s="136" t="n"/>
      <c r="L12" s="137">
        <f>IFERROR(MAX(1,MIN(10,5+IF(I12&gt;=2,2,IF(I12&gt;=1.5,1,IF(I12&lt;1,-1,0)))+IF(J12="Yes",1,-1)+IF(OR(E12="Trending",E12="Volatile"),1,0))),"")</f>
        <v/>
      </c>
      <c r="M12" s="136" t="n"/>
    </row>
    <row r="13" ht="18" customHeight="1" s="98">
      <c r="A13" s="134" t="n"/>
      <c r="B13" s="134" t="n"/>
      <c r="C13" s="134" t="n"/>
      <c r="D13" s="134" t="n"/>
      <c r="E13" s="134" t="n"/>
      <c r="F13" s="134" t="n"/>
      <c r="G13" s="134" t="n"/>
      <c r="H13" s="134" t="n"/>
      <c r="I13" s="134" t="n"/>
      <c r="J13" s="134" t="n"/>
      <c r="K13" s="134" t="n"/>
      <c r="L13" s="135">
        <f>IFERROR(MAX(1,MIN(10,5+IF(I13&gt;=2,2,IF(I13&gt;=1.5,1,IF(I13&lt;1,-1,0)))+IF(J13="Yes",1,-1)+IF(OR(E13="Trending",E13="Volatile"),1,0))),"")</f>
        <v/>
      </c>
      <c r="M13" s="134" t="n"/>
    </row>
    <row r="14" ht="18" customHeight="1" s="98">
      <c r="A14" s="136" t="n"/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7">
        <f>IFERROR(MAX(1,MIN(10,5+IF(I14&gt;=2,2,IF(I14&gt;=1.5,1,IF(I14&lt;1,-1,0)))+IF(J14="Yes",1,-1)+IF(OR(E14="Trending",E14="Volatile"),1,0))),"")</f>
        <v/>
      </c>
      <c r="M14" s="136" t="n"/>
    </row>
    <row r="15" ht="18" customHeight="1" s="98">
      <c r="A15" s="134" t="n"/>
      <c r="B15" s="134" t="n"/>
      <c r="C15" s="134" t="n"/>
      <c r="D15" s="134" t="n"/>
      <c r="E15" s="134" t="n"/>
      <c r="F15" s="134" t="n"/>
      <c r="G15" s="134" t="n"/>
      <c r="H15" s="134" t="n"/>
      <c r="I15" s="134" t="n"/>
      <c r="J15" s="134" t="n"/>
      <c r="K15" s="134" t="n"/>
      <c r="L15" s="135">
        <f>IFERROR(MAX(1,MIN(10,5+IF(I15&gt;=2,2,IF(I15&gt;=1.5,1,IF(I15&lt;1,-1,0)))+IF(J15="Yes",1,-1)+IF(OR(E15="Trending",E15="Volatile"),1,0))),"")</f>
        <v/>
      </c>
      <c r="M15" s="134" t="n"/>
    </row>
    <row r="16" ht="18" customHeight="1" s="98">
      <c r="A16" s="136" t="n"/>
      <c r="B16" s="136" t="n"/>
      <c r="C16" s="136" t="n"/>
      <c r="D16" s="136" t="n"/>
      <c r="E16" s="136" t="n"/>
      <c r="F16" s="136" t="n"/>
      <c r="G16" s="136" t="n"/>
      <c r="H16" s="136" t="n"/>
      <c r="I16" s="136" t="n"/>
      <c r="J16" s="136" t="n"/>
      <c r="K16" s="136" t="n"/>
      <c r="L16" s="137">
        <f>IFERROR(MAX(1,MIN(10,5+IF(I16&gt;=2,2,IF(I16&gt;=1.5,1,IF(I16&lt;1,-1,0)))+IF(J16="Yes",1,-1)+IF(OR(E16="Trending",E16="Volatile"),1,0))),"")</f>
        <v/>
      </c>
      <c r="M16" s="136" t="n"/>
    </row>
    <row r="17" ht="18" customHeight="1" s="98">
      <c r="A17" s="134" t="n"/>
      <c r="B17" s="134" t="n"/>
      <c r="C17" s="134" t="n"/>
      <c r="D17" s="134" t="n"/>
      <c r="E17" s="134" t="n"/>
      <c r="F17" s="134" t="n"/>
      <c r="G17" s="134" t="n"/>
      <c r="H17" s="134" t="n"/>
      <c r="I17" s="134" t="n"/>
      <c r="J17" s="134" t="n"/>
      <c r="K17" s="134" t="n"/>
      <c r="L17" s="135">
        <f>IFERROR(MAX(1,MIN(10,5+IF(I17&gt;=2,2,IF(I17&gt;=1.5,1,IF(I17&lt;1,-1,0)))+IF(J17="Yes",1,-1)+IF(OR(E17="Trending",E17="Volatile"),1,0))),"")</f>
        <v/>
      </c>
      <c r="M17" s="134" t="n"/>
    </row>
    <row r="18" ht="18" customHeight="1" s="98">
      <c r="A18" s="136" t="n"/>
      <c r="B18" s="136" t="n"/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36" t="n"/>
      <c r="L18" s="137">
        <f>IFERROR(MAX(1,MIN(10,5+IF(I18&gt;=2,2,IF(I18&gt;=1.5,1,IF(I18&lt;1,-1,0)))+IF(J18="Yes",1,-1)+IF(OR(E18="Trending",E18="Volatile"),1,0))),"")</f>
        <v/>
      </c>
      <c r="M18" s="136" t="n"/>
    </row>
    <row r="19" ht="18" customHeight="1" s="98">
      <c r="A19" s="134" t="n"/>
      <c r="B19" s="134" t="n"/>
      <c r="C19" s="134" t="n"/>
      <c r="D19" s="134" t="n"/>
      <c r="E19" s="134" t="n"/>
      <c r="F19" s="134" t="n"/>
      <c r="G19" s="134" t="n"/>
      <c r="H19" s="134" t="n"/>
      <c r="I19" s="134" t="n"/>
      <c r="J19" s="134" t="n"/>
      <c r="K19" s="134" t="n"/>
      <c r="L19" s="135">
        <f>IFERROR(MAX(1,MIN(10,5+IF(I19&gt;=2,2,IF(I19&gt;=1.5,1,IF(I19&lt;1,-1,0)))+IF(J19="Yes",1,-1)+IF(OR(E19="Trending",E19="Volatile"),1,0))),"")</f>
        <v/>
      </c>
      <c r="M19" s="134" t="n"/>
    </row>
    <row r="20" ht="18" customHeight="1" s="98">
      <c r="A20" s="136" t="n"/>
      <c r="B20" s="136" t="n"/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36" t="n"/>
      <c r="L20" s="137">
        <f>IFERROR(MAX(1,MIN(10,5+IF(I20&gt;=2,2,IF(I20&gt;=1.5,1,IF(I20&lt;1,-1,0)))+IF(J20="Yes",1,-1)+IF(OR(E20="Trending",E20="Volatile"),1,0))),"")</f>
        <v/>
      </c>
      <c r="M20" s="136" t="n"/>
    </row>
    <row r="21" ht="18" customHeight="1" s="98">
      <c r="A21" s="134" t="n"/>
      <c r="B21" s="134" t="n"/>
      <c r="C21" s="134" t="n"/>
      <c r="D21" s="134" t="n"/>
      <c r="E21" s="134" t="n"/>
      <c r="F21" s="134" t="n"/>
      <c r="G21" s="134" t="n"/>
      <c r="H21" s="134" t="n"/>
      <c r="I21" s="134" t="n"/>
      <c r="J21" s="134" t="n"/>
      <c r="K21" s="134" t="n"/>
      <c r="L21" s="135">
        <f>IFERROR(MAX(1,MIN(10,5+IF(I21&gt;=2,2,IF(I21&gt;=1.5,1,IF(I21&lt;1,-1,0)))+IF(J21="Yes",1,-1)+IF(OR(E21="Trending",E21="Volatile"),1,0))),"")</f>
        <v/>
      </c>
      <c r="M21" s="134" t="n"/>
    </row>
    <row r="22" ht="18" customHeight="1" s="98">
      <c r="A22" s="136" t="n"/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7">
        <f>IFERROR(MAX(1,MIN(10,5+IF(I22&gt;=2,2,IF(I22&gt;=1.5,1,IF(I22&lt;1,-1,0)))+IF(J22="Yes",1,-1)+IF(OR(E22="Trending",E22="Volatile"),1,0))),"")</f>
        <v/>
      </c>
      <c r="M22" s="136" t="n"/>
    </row>
    <row r="23" ht="18" customHeight="1" s="98">
      <c r="A23" s="134" t="n"/>
      <c r="B23" s="134" t="n"/>
      <c r="C23" s="134" t="n"/>
      <c r="D23" s="134" t="n"/>
      <c r="E23" s="134" t="n"/>
      <c r="F23" s="134" t="n"/>
      <c r="G23" s="134" t="n"/>
      <c r="H23" s="134" t="n"/>
      <c r="I23" s="134" t="n"/>
      <c r="J23" s="134" t="n"/>
      <c r="K23" s="134" t="n"/>
      <c r="L23" s="135">
        <f>IFERROR(MAX(1,MIN(10,5+IF(I23&gt;=2,2,IF(I23&gt;=1.5,1,IF(I23&lt;1,-1,0)))+IF(J23="Yes",1,-1)+IF(OR(E23="Trending",E23="Volatile"),1,0))),"")</f>
        <v/>
      </c>
      <c r="M23" s="134" t="n"/>
    </row>
    <row r="24" ht="18" customHeight="1" s="98">
      <c r="A24" s="136" t="n"/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7">
        <f>IFERROR(MAX(1,MIN(10,5+IF(I24&gt;=2,2,IF(I24&gt;=1.5,1,IF(I24&lt;1,-1,0)))+IF(J24="Yes",1,-1)+IF(OR(E24="Trending",E24="Volatile"),1,0))),"")</f>
        <v/>
      </c>
      <c r="M24" s="136" t="n"/>
    </row>
    <row r="25" ht="18" customHeight="1" s="98">
      <c r="A25" s="134" t="n"/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5">
        <f>IFERROR(MAX(1,MIN(10,5+IF(I25&gt;=2,2,IF(I25&gt;=1.5,1,IF(I25&lt;1,-1,0)))+IF(J25="Yes",1,-1)+IF(OR(E25="Trending",E25="Volatile"),1,0))),"")</f>
        <v/>
      </c>
      <c r="M25" s="134" t="n"/>
    </row>
    <row r="26" ht="18" customHeight="1" s="98">
      <c r="A26" s="136" t="n"/>
      <c r="B26" s="136" t="n"/>
      <c r="C26" s="136" t="n"/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7">
        <f>IFERROR(MAX(1,MIN(10,5+IF(I26&gt;=2,2,IF(I26&gt;=1.5,1,IF(I26&lt;1,-1,0)))+IF(J26="Yes",1,-1)+IF(OR(E26="Trending",E26="Volatile"),1,0))),"")</f>
        <v/>
      </c>
      <c r="M26" s="136" t="n"/>
    </row>
    <row r="27" ht="18" customHeight="1" s="98">
      <c r="A27" s="134" t="n"/>
      <c r="B27" s="134" t="n"/>
      <c r="C27" s="134" t="n"/>
      <c r="D27" s="134" t="n"/>
      <c r="E27" s="134" t="n"/>
      <c r="F27" s="134" t="n"/>
      <c r="G27" s="134" t="n"/>
      <c r="H27" s="134" t="n"/>
      <c r="I27" s="134" t="n"/>
      <c r="J27" s="134" t="n"/>
      <c r="K27" s="134" t="n"/>
      <c r="L27" s="135">
        <f>IFERROR(MAX(1,MIN(10,5+IF(I27&gt;=2,2,IF(I27&gt;=1.5,1,IF(I27&lt;1,-1,0)))+IF(J27="Yes",1,-1)+IF(OR(E27="Trending",E27="Volatile"),1,0))),"")</f>
        <v/>
      </c>
      <c r="M27" s="134" t="n"/>
    </row>
    <row r="28" ht="18" customHeight="1" s="98">
      <c r="A28" s="136" t="n"/>
      <c r="B28" s="136" t="n"/>
      <c r="C28" s="136" t="n"/>
      <c r="D28" s="136" t="n"/>
      <c r="E28" s="136" t="n"/>
      <c r="F28" s="136" t="n"/>
      <c r="G28" s="136" t="n"/>
      <c r="H28" s="136" t="n"/>
      <c r="I28" s="136" t="n"/>
      <c r="J28" s="136" t="n"/>
      <c r="K28" s="136" t="n"/>
      <c r="L28" s="137">
        <f>IFERROR(MAX(1,MIN(10,5+IF(I28&gt;=2,2,IF(I28&gt;=1.5,1,IF(I28&lt;1,-1,0)))+IF(J28="Yes",1,-1)+IF(OR(E28="Trending",E28="Volatile"),1,0))),"")</f>
        <v/>
      </c>
      <c r="M28" s="136" t="n"/>
    </row>
    <row r="29" ht="18" customHeight="1" s="98">
      <c r="A29" s="134" t="n"/>
      <c r="B29" s="134" t="n"/>
      <c r="C29" s="134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5">
        <f>IFERROR(MAX(1,MIN(10,5+IF(I29&gt;=2,2,IF(I29&gt;=1.5,1,IF(I29&lt;1,-1,0)))+IF(J29="Yes",1,-1)+IF(OR(E29="Trending",E29="Volatile"),1,0))),"")</f>
        <v/>
      </c>
      <c r="M29" s="134" t="n"/>
    </row>
    <row r="30" ht="18" customHeight="1" s="98">
      <c r="A30" s="136" t="n"/>
      <c r="B30" s="136" t="n"/>
      <c r="C30" s="136" t="n"/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7">
        <f>IFERROR(MAX(1,MIN(10,5+IF(I30&gt;=2,2,IF(I30&gt;=1.5,1,IF(I30&lt;1,-1,0)))+IF(J30="Yes",1,-1)+IF(OR(E30="Trending",E30="Volatile"),1,0))),"")</f>
        <v/>
      </c>
      <c r="M30" s="136" t="n"/>
    </row>
    <row r="31" ht="18" customHeight="1" s="98">
      <c r="A31" s="134" t="n"/>
      <c r="B31" s="134" t="n"/>
      <c r="C31" s="134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5">
        <f>IFERROR(MAX(1,MIN(10,5+IF(I31&gt;=2,2,IF(I31&gt;=1.5,1,IF(I31&lt;1,-1,0)))+IF(J31="Yes",1,-1)+IF(OR(E31="Trending",E31="Volatile"),1,0))),"")</f>
        <v/>
      </c>
      <c r="M31" s="134" t="n"/>
    </row>
    <row r="32" ht="18" customHeight="1" s="98">
      <c r="A32" s="136" t="n"/>
      <c r="B32" s="136" t="n"/>
      <c r="C32" s="136" t="n"/>
      <c r="D32" s="136" t="n"/>
      <c r="E32" s="136" t="n"/>
      <c r="F32" s="136" t="n"/>
      <c r="G32" s="136" t="n"/>
      <c r="H32" s="136" t="n"/>
      <c r="I32" s="136" t="n"/>
      <c r="J32" s="136" t="n"/>
      <c r="K32" s="136" t="n"/>
      <c r="L32" s="137">
        <f>IFERROR(MAX(1,MIN(10,5+IF(I32&gt;=2,2,IF(I32&gt;=1.5,1,IF(I32&lt;1,-1,0)))+IF(J32="Yes",1,-1)+IF(OR(E32="Trending",E32="Volatile"),1,0))),"")</f>
        <v/>
      </c>
      <c r="M32" s="136" t="n"/>
    </row>
    <row r="33" ht="18" customHeight="1" s="98">
      <c r="A33" s="134" t="n"/>
      <c r="B33" s="134" t="n"/>
      <c r="C33" s="134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5">
        <f>IFERROR(MAX(1,MIN(10,5+IF(I33&gt;=2,2,IF(I33&gt;=1.5,1,IF(I33&lt;1,-1,0)))+IF(J33="Yes",1,-1)+IF(OR(E33="Trending",E33="Volatile"),1,0))),"")</f>
        <v/>
      </c>
      <c r="M33" s="134" t="n"/>
    </row>
    <row r="34" ht="18" customHeight="1" s="98">
      <c r="A34" s="136" t="n"/>
      <c r="B34" s="136" t="n"/>
      <c r="C34" s="136" t="n"/>
      <c r="D34" s="136" t="n"/>
      <c r="E34" s="136" t="n"/>
      <c r="F34" s="136" t="n"/>
      <c r="G34" s="136" t="n"/>
      <c r="H34" s="136" t="n"/>
      <c r="I34" s="136" t="n"/>
      <c r="J34" s="136" t="n"/>
      <c r="K34" s="136" t="n"/>
      <c r="L34" s="137">
        <f>IFERROR(MAX(1,MIN(10,5+IF(I34&gt;=2,2,IF(I34&gt;=1.5,1,IF(I34&lt;1,-1,0)))+IF(J34="Yes",1,-1)+IF(OR(E34="Trending",E34="Volatile"),1,0))),"")</f>
        <v/>
      </c>
      <c r="M34" s="136" t="n"/>
    </row>
    <row r="35" ht="18" customHeight="1" s="98">
      <c r="A35" s="134" t="n"/>
      <c r="B35" s="134" t="n"/>
      <c r="C35" s="134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5">
        <f>IFERROR(MAX(1,MIN(10,5+IF(I35&gt;=2,2,IF(I35&gt;=1.5,1,IF(I35&lt;1,-1,0)))+IF(J35="Yes",1,-1)+IF(OR(E35="Trending",E35="Volatile"),1,0))),"")</f>
        <v/>
      </c>
      <c r="M35" s="134" t="n"/>
    </row>
    <row r="36" ht="18" customHeight="1" s="98">
      <c r="A36" s="136" t="n"/>
      <c r="B36" s="136" t="n"/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7">
        <f>IFERROR(MAX(1,MIN(10,5+IF(I36&gt;=2,2,IF(I36&gt;=1.5,1,IF(I36&lt;1,-1,0)))+IF(J36="Yes",1,-1)+IF(OR(E36="Trending",E36="Volatile"),1,0))),"")</f>
        <v/>
      </c>
      <c r="M36" s="136" t="n"/>
    </row>
    <row r="37" ht="18" customHeight="1" s="98">
      <c r="A37" s="134" t="n"/>
      <c r="B37" s="134" t="n"/>
      <c r="C37" s="134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5">
        <f>IFERROR(MAX(1,MIN(10,5+IF(I37&gt;=2,2,IF(I37&gt;=1.5,1,IF(I37&lt;1,-1,0)))+IF(J37="Yes",1,-1)+IF(OR(E37="Trending",E37="Volatile"),1,0))),"")</f>
        <v/>
      </c>
      <c r="M37" s="134" t="n"/>
    </row>
    <row r="38" ht="18" customHeight="1" s="98">
      <c r="A38" s="136" t="n"/>
      <c r="B38" s="136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7">
        <f>IFERROR(MAX(1,MIN(10,5+IF(I38&gt;=2,2,IF(I38&gt;=1.5,1,IF(I38&lt;1,-1,0)))+IF(J38="Yes",1,-1)+IF(OR(E38="Trending",E38="Volatile"),1,0))),"")</f>
        <v/>
      </c>
      <c r="M38" s="136" t="n"/>
    </row>
    <row r="39" ht="18" customHeight="1" s="98">
      <c r="A39" s="134" t="n"/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5">
        <f>IFERROR(MAX(1,MIN(10,5+IF(I39&gt;=2,2,IF(I39&gt;=1.5,1,IF(I39&lt;1,-1,0)))+IF(J39="Yes",1,-1)+IF(OR(E39="Trending",E39="Volatile"),1,0))),"")</f>
        <v/>
      </c>
      <c r="M39" s="134" t="n"/>
    </row>
    <row r="40" ht="18" customHeight="1" s="98">
      <c r="A40" s="136" t="n"/>
      <c r="B40" s="136" t="n"/>
      <c r="C40" s="136" t="n"/>
      <c r="D40" s="136" t="n"/>
      <c r="E40" s="136" t="n"/>
      <c r="F40" s="136" t="n"/>
      <c r="G40" s="136" t="n"/>
      <c r="H40" s="136" t="n"/>
      <c r="I40" s="136" t="n"/>
      <c r="J40" s="136" t="n"/>
      <c r="K40" s="136" t="n"/>
      <c r="L40" s="137">
        <f>IFERROR(MAX(1,MIN(10,5+IF(I40&gt;=2,2,IF(I40&gt;=1.5,1,IF(I40&lt;1,-1,0)))+IF(J40="Yes",1,-1)+IF(OR(E40="Trending",E40="Volatile"),1,0))),"")</f>
        <v/>
      </c>
      <c r="M40" s="136" t="n"/>
    </row>
    <row r="41" ht="18" customHeight="1" s="98">
      <c r="A41" s="134" t="n"/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5">
        <f>IFERROR(MAX(1,MIN(10,5+IF(I41&gt;=2,2,IF(I41&gt;=1.5,1,IF(I41&lt;1,-1,0)))+IF(J41="Yes",1,-1)+IF(OR(E41="Trending",E41="Volatile"),1,0))),"")</f>
        <v/>
      </c>
      <c r="M41" s="134" t="n"/>
    </row>
    <row r="42" ht="18" customHeight="1" s="98">
      <c r="A42" s="136" t="n"/>
      <c r="B42" s="136" t="n"/>
      <c r="C42" s="136" t="n"/>
      <c r="D42" s="136" t="n"/>
      <c r="E42" s="136" t="n"/>
      <c r="F42" s="136" t="n"/>
      <c r="G42" s="136" t="n"/>
      <c r="H42" s="136" t="n"/>
      <c r="I42" s="136" t="n"/>
      <c r="J42" s="136" t="n"/>
      <c r="K42" s="136" t="n"/>
      <c r="L42" s="137">
        <f>IFERROR(MAX(1,MIN(10,5+IF(I42&gt;=2,2,IF(I42&gt;=1.5,1,IF(I42&lt;1,-1,0)))+IF(J42="Yes",1,-1)+IF(OR(E42="Trending",E42="Volatile"),1,0))),"")</f>
        <v/>
      </c>
      <c r="M42" s="136" t="n"/>
    </row>
    <row r="43" ht="18" customHeight="1" s="98">
      <c r="A43" s="134" t="n"/>
      <c r="B43" s="134" t="n"/>
      <c r="C43" s="134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5">
        <f>IFERROR(MAX(1,MIN(10,5+IF(I43&gt;=2,2,IF(I43&gt;=1.5,1,IF(I43&lt;1,-1,0)))+IF(J43="Yes",1,-1)+IF(OR(E43="Trending",E43="Volatile"),1,0))),"")</f>
        <v/>
      </c>
      <c r="M43" s="134" t="n"/>
    </row>
    <row r="44" ht="18" customHeight="1" s="98">
      <c r="A44" s="136" t="n"/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7">
        <f>IFERROR(MAX(1,MIN(10,5+IF(I44&gt;=2,2,IF(I44&gt;=1.5,1,IF(I44&lt;1,-1,0)))+IF(J44="Yes",1,-1)+IF(OR(E44="Trending",E44="Volatile"),1,0))),"")</f>
        <v/>
      </c>
      <c r="M44" s="136" t="n"/>
    </row>
    <row r="45" ht="18" customHeight="1" s="98">
      <c r="A45" s="134" t="n"/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5">
        <f>IFERROR(MAX(1,MIN(10,5+IF(I45&gt;=2,2,IF(I45&gt;=1.5,1,IF(I45&lt;1,-1,0)))+IF(J45="Yes",1,-1)+IF(OR(E45="Trending",E45="Volatile"),1,0))),"")</f>
        <v/>
      </c>
      <c r="M45" s="134" t="n"/>
    </row>
    <row r="46" ht="18" customHeight="1" s="98">
      <c r="A46" s="136" t="n"/>
      <c r="B46" s="136" t="n"/>
      <c r="C46" s="136" t="n"/>
      <c r="D46" s="136" t="n"/>
      <c r="E46" s="136" t="n"/>
      <c r="F46" s="136" t="n"/>
      <c r="G46" s="136" t="n"/>
      <c r="H46" s="136" t="n"/>
      <c r="I46" s="136" t="n"/>
      <c r="J46" s="136" t="n"/>
      <c r="K46" s="136" t="n"/>
      <c r="L46" s="137">
        <f>IFERROR(MAX(1,MIN(10,5+IF(I46&gt;=2,2,IF(I46&gt;=1.5,1,IF(I46&lt;1,-1,0)))+IF(J46="Yes",1,-1)+IF(OR(E46="Trending",E46="Volatile"),1,0))),"")</f>
        <v/>
      </c>
      <c r="M46" s="136" t="n"/>
    </row>
    <row r="47" ht="18" customHeight="1" s="98">
      <c r="A47" s="134" t="n"/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5">
        <f>IFERROR(MAX(1,MIN(10,5+IF(I47&gt;=2,2,IF(I47&gt;=1.5,1,IF(I47&lt;1,-1,0)))+IF(J47="Yes",1,-1)+IF(OR(E47="Trending",E47="Volatile"),1,0))),"")</f>
        <v/>
      </c>
      <c r="M47" s="134" t="n"/>
    </row>
    <row r="48" ht="18" customHeight="1" s="98">
      <c r="A48" s="136" t="n"/>
      <c r="B48" s="136" t="n"/>
      <c r="C48" s="136" t="n"/>
      <c r="D48" s="136" t="n"/>
      <c r="E48" s="136" t="n"/>
      <c r="F48" s="136" t="n"/>
      <c r="G48" s="136" t="n"/>
      <c r="H48" s="136" t="n"/>
      <c r="I48" s="136" t="n"/>
      <c r="J48" s="136" t="n"/>
      <c r="K48" s="136" t="n"/>
      <c r="L48" s="137">
        <f>IFERROR(MAX(1,MIN(10,5+IF(I48&gt;=2,2,IF(I48&gt;=1.5,1,IF(I48&lt;1,-1,0)))+IF(J48="Yes",1,-1)+IF(OR(E48="Trending",E48="Volatile"),1,0))),"")</f>
        <v/>
      </c>
      <c r="M48" s="136" t="n"/>
    </row>
    <row r="49" ht="18" customHeight="1" s="98">
      <c r="A49" s="134" t="n"/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5">
        <f>IFERROR(MAX(1,MIN(10,5+IF(I49&gt;=2,2,IF(I49&gt;=1.5,1,IF(I49&lt;1,-1,0)))+IF(J49="Yes",1,-1)+IF(OR(E49="Trending",E49="Volatile"),1,0))),"")</f>
        <v/>
      </c>
      <c r="M49" s="134" t="n"/>
    </row>
    <row r="50" ht="18" customHeight="1" s="98">
      <c r="A50" s="136" t="n"/>
      <c r="B50" s="136" t="n"/>
      <c r="C50" s="136" t="n"/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7">
        <f>IFERROR(MAX(1,MIN(10,5+IF(I50&gt;=2,2,IF(I50&gt;=1.5,1,IF(I50&lt;1,-1,0)))+IF(J50="Yes",1,-1)+IF(OR(E50="Trending",E50="Volatile"),1,0))),"")</f>
        <v/>
      </c>
      <c r="M50" s="136" t="n"/>
    </row>
    <row r="51" ht="18" customHeight="1" s="98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5">
        <f>IFERROR(MAX(1,MIN(10,5+IF(I51&gt;=2,2,IF(I51&gt;=1.5,1,IF(I51&lt;1,-1,0)))+IF(J51="Yes",1,-1)+IF(OR(E51="Trending",E51="Volatile"),1,0))),"")</f>
        <v/>
      </c>
      <c r="M51" s="134" t="n"/>
    </row>
    <row r="52" ht="18" customHeight="1" s="98">
      <c r="A52" s="136" t="n"/>
      <c r="B52" s="136" t="n"/>
      <c r="C52" s="136" t="n"/>
      <c r="D52" s="136" t="n"/>
      <c r="E52" s="136" t="n"/>
      <c r="F52" s="136" t="n"/>
      <c r="G52" s="136" t="n"/>
      <c r="H52" s="136" t="n"/>
      <c r="I52" s="136" t="n"/>
      <c r="J52" s="136" t="n"/>
      <c r="K52" s="136" t="n"/>
      <c r="L52" s="137">
        <f>IFERROR(MAX(1,MIN(10,5+IF(I52&gt;=2,2,IF(I52&gt;=1.5,1,IF(I52&lt;1,-1,0)))+IF(J52="Yes",1,-1)+IF(OR(E52="Trending",E52="Volatile"),1,0))),"")</f>
        <v/>
      </c>
      <c r="M52" s="136" t="n"/>
    </row>
    <row r="53" ht="18" customHeight="1" s="98">
      <c r="A53" s="134" t="n"/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5">
        <f>IFERROR(MAX(1,MIN(10,5+IF(I53&gt;=2,2,IF(I53&gt;=1.5,1,IF(I53&lt;1,-1,0)))+IF(J53="Yes",1,-1)+IF(OR(E53="Trending",E53="Volatile"),1,0))),"")</f>
        <v/>
      </c>
      <c r="M53" s="134" t="n"/>
    </row>
    <row r="54" ht="18" customHeight="1" s="98">
      <c r="A54" s="136" t="n"/>
      <c r="B54" s="136" t="n"/>
      <c r="C54" s="136" t="n"/>
      <c r="D54" s="136" t="n"/>
      <c r="E54" s="136" t="n"/>
      <c r="F54" s="136" t="n"/>
      <c r="G54" s="136" t="n"/>
      <c r="H54" s="136" t="n"/>
      <c r="I54" s="136" t="n"/>
      <c r="J54" s="136" t="n"/>
      <c r="K54" s="136" t="n"/>
      <c r="L54" s="137">
        <f>IFERROR(MAX(1,MIN(10,5+IF(I54&gt;=2,2,IF(I54&gt;=1.5,1,IF(I54&lt;1,-1,0)))+IF(J54="Yes",1,-1)+IF(OR(E54="Trending",E54="Volatile"),1,0))),"")</f>
        <v/>
      </c>
      <c r="M54" s="136" t="n"/>
    </row>
    <row r="55" ht="18" customHeight="1" s="98">
      <c r="A55" s="134" t="n"/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5">
        <f>IFERROR(MAX(1,MIN(10,5+IF(I55&gt;=2,2,IF(I55&gt;=1.5,1,IF(I55&lt;1,-1,0)))+IF(J55="Yes",1,-1)+IF(OR(E55="Trending",E55="Volatile"),1,0))),"")</f>
        <v/>
      </c>
      <c r="M55" s="134" t="n"/>
    </row>
    <row r="56" ht="18" customHeight="1" s="98">
      <c r="A56" s="136" t="n"/>
      <c r="B56" s="136" t="n"/>
      <c r="C56" s="136" t="n"/>
      <c r="D56" s="136" t="n"/>
      <c r="E56" s="136" t="n"/>
      <c r="F56" s="136" t="n"/>
      <c r="G56" s="136" t="n"/>
      <c r="H56" s="136" t="n"/>
      <c r="I56" s="136" t="n"/>
      <c r="J56" s="136" t="n"/>
      <c r="K56" s="136" t="n"/>
      <c r="L56" s="137">
        <f>IFERROR(MAX(1,MIN(10,5+IF(I56&gt;=2,2,IF(I56&gt;=1.5,1,IF(I56&lt;1,-1,0)))+IF(J56="Yes",1,-1)+IF(OR(E56="Trending",E56="Volatile"),1,0))),"")</f>
        <v/>
      </c>
      <c r="M56" s="136" t="n"/>
    </row>
    <row r="57" ht="18" customHeight="1" s="98">
      <c r="A57" s="134" t="n"/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5">
        <f>IFERROR(MAX(1,MIN(10,5+IF(I57&gt;=2,2,IF(I57&gt;=1.5,1,IF(I57&lt;1,-1,0)))+IF(J57="Yes",1,-1)+IF(OR(E57="Trending",E57="Volatile"),1,0))),"")</f>
        <v/>
      </c>
      <c r="M57" s="134" t="n"/>
    </row>
    <row r="58" ht="18" customHeight="1" s="98">
      <c r="A58" s="136" t="n"/>
      <c r="B58" s="136" t="n"/>
      <c r="C58" s="136" t="n"/>
      <c r="D58" s="136" t="n"/>
      <c r="E58" s="136" t="n"/>
      <c r="F58" s="136" t="n"/>
      <c r="G58" s="136" t="n"/>
      <c r="H58" s="136" t="n"/>
      <c r="I58" s="136" t="n"/>
      <c r="J58" s="136" t="n"/>
      <c r="K58" s="136" t="n"/>
      <c r="L58" s="137">
        <f>IFERROR(MAX(1,MIN(10,5+IF(I58&gt;=2,2,IF(I58&gt;=1.5,1,IF(I58&lt;1,-1,0)))+IF(J58="Yes",1,-1)+IF(OR(E58="Trending",E58="Volatile"),1,0))),"")</f>
        <v/>
      </c>
      <c r="M58" s="136" t="n"/>
    </row>
    <row r="59" ht="18" customHeight="1" s="98">
      <c r="A59" s="134" t="n"/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5">
        <f>IFERROR(MAX(1,MIN(10,5+IF(I59&gt;=2,2,IF(I59&gt;=1.5,1,IF(I59&lt;1,-1,0)))+IF(J59="Yes",1,-1)+IF(OR(E59="Trending",E59="Volatile"),1,0))),"")</f>
        <v/>
      </c>
      <c r="M59" s="134" t="n"/>
    </row>
    <row r="60" ht="18" customHeight="1" s="98">
      <c r="A60" s="136" t="n"/>
      <c r="B60" s="136" t="n"/>
      <c r="C60" s="136" t="n"/>
      <c r="D60" s="136" t="n"/>
      <c r="E60" s="136" t="n"/>
      <c r="F60" s="136" t="n"/>
      <c r="G60" s="136" t="n"/>
      <c r="H60" s="136" t="n"/>
      <c r="I60" s="136" t="n"/>
      <c r="J60" s="136" t="n"/>
      <c r="K60" s="136" t="n"/>
      <c r="L60" s="137">
        <f>IFERROR(MAX(1,MIN(10,5+IF(I60&gt;=2,2,IF(I60&gt;=1.5,1,IF(I60&lt;1,-1,0)))+IF(J60="Yes",1,-1)+IF(OR(E60="Trending",E60="Volatile"),1,0))),"")</f>
        <v/>
      </c>
      <c r="M60" s="136" t="n"/>
    </row>
    <row r="61" ht="18" customHeight="1" s="98">
      <c r="A61" s="134" t="n"/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5">
        <f>IFERROR(MAX(1,MIN(10,5+IF(I61&gt;=2,2,IF(I61&gt;=1.5,1,IF(I61&lt;1,-1,0)))+IF(J61="Yes",1,-1)+IF(OR(E61="Trending",E61="Volatile"),1,0))),"")</f>
        <v/>
      </c>
      <c r="M61" s="134" t="n"/>
    </row>
    <row r="62" ht="18" customHeight="1" s="98">
      <c r="A62" s="136" t="n"/>
      <c r="B62" s="136" t="n"/>
      <c r="C62" s="136" t="n"/>
      <c r="D62" s="136" t="n"/>
      <c r="E62" s="136" t="n"/>
      <c r="F62" s="136" t="n"/>
      <c r="G62" s="136" t="n"/>
      <c r="H62" s="136" t="n"/>
      <c r="I62" s="136" t="n"/>
      <c r="J62" s="136" t="n"/>
      <c r="K62" s="136" t="n"/>
      <c r="L62" s="137">
        <f>IFERROR(MAX(1,MIN(10,5+IF(I62&gt;=2,2,IF(I62&gt;=1.5,1,IF(I62&lt;1,-1,0)))+IF(J62="Yes",1,-1)+IF(OR(E62="Trending",E62="Volatile"),1,0))),"")</f>
        <v/>
      </c>
      <c r="M62" s="136" t="n"/>
    </row>
    <row r="63" ht="18" customHeight="1" s="98">
      <c r="A63" s="134" t="n"/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5">
        <f>IFERROR(MAX(1,MIN(10,5+IF(I63&gt;=2,2,IF(I63&gt;=1.5,1,IF(I63&lt;1,-1,0)))+IF(J63="Yes",1,-1)+IF(OR(E63="Trending",E63="Volatile"),1,0))),"")</f>
        <v/>
      </c>
      <c r="M63" s="134" t="n"/>
    </row>
    <row r="64" ht="18" customHeight="1" s="98">
      <c r="A64" s="136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136" t="n"/>
      <c r="K64" s="136" t="n"/>
      <c r="L64" s="137">
        <f>IFERROR(MAX(1,MIN(10,5+IF(I64&gt;=2,2,IF(I64&gt;=1.5,1,IF(I64&lt;1,-1,0)))+IF(J64="Yes",1,-1)+IF(OR(E64="Trending",E64="Volatile"),1,0))),"")</f>
        <v/>
      </c>
      <c r="M64" s="136" t="n"/>
    </row>
    <row r="65" ht="18" customHeight="1" s="98">
      <c r="A65" s="134" t="n"/>
      <c r="B65" s="134" t="n"/>
      <c r="C65" s="134" t="n"/>
      <c r="D65" s="134" t="n"/>
      <c r="E65" s="134" t="n"/>
      <c r="F65" s="134" t="n"/>
      <c r="G65" s="134" t="n"/>
      <c r="H65" s="134" t="n"/>
      <c r="I65" s="134" t="n"/>
      <c r="J65" s="134" t="n"/>
      <c r="K65" s="134" t="n"/>
      <c r="L65" s="135">
        <f>IFERROR(MAX(1,MIN(10,5+IF(I65&gt;=2,2,IF(I65&gt;=1.5,1,IF(I65&lt;1,-1,0)))+IF(J65="Yes",1,-1)+IF(OR(E65="Trending",E65="Volatile"),1,0))),"")</f>
        <v/>
      </c>
      <c r="M65" s="134" t="n"/>
    </row>
    <row r="66" ht="18" customHeight="1" s="98">
      <c r="A66" s="136" t="n"/>
      <c r="B66" s="136" t="n"/>
      <c r="C66" s="136" t="n"/>
      <c r="D66" s="136" t="n"/>
      <c r="E66" s="136" t="n"/>
      <c r="F66" s="136" t="n"/>
      <c r="G66" s="136" t="n"/>
      <c r="H66" s="136" t="n"/>
      <c r="I66" s="136" t="n"/>
      <c r="J66" s="136" t="n"/>
      <c r="K66" s="136" t="n"/>
      <c r="L66" s="137">
        <f>IFERROR(MAX(1,MIN(10,5+IF(I66&gt;=2,2,IF(I66&gt;=1.5,1,IF(I66&lt;1,-1,0)))+IF(J66="Yes",1,-1)+IF(OR(E66="Trending",E66="Volatile"),1,0))),"")</f>
        <v/>
      </c>
      <c r="M66" s="136" t="n"/>
    </row>
    <row r="67" ht="18" customHeight="1" s="98">
      <c r="A67" s="134" t="n"/>
      <c r="B67" s="134" t="n"/>
      <c r="C67" s="134" t="n"/>
      <c r="D67" s="134" t="n"/>
      <c r="E67" s="134" t="n"/>
      <c r="F67" s="134" t="n"/>
      <c r="G67" s="134" t="n"/>
      <c r="H67" s="134" t="n"/>
      <c r="I67" s="134" t="n"/>
      <c r="J67" s="134" t="n"/>
      <c r="K67" s="134" t="n"/>
      <c r="L67" s="135">
        <f>IFERROR(MAX(1,MIN(10,5+IF(I67&gt;=2,2,IF(I67&gt;=1.5,1,IF(I67&lt;1,-1,0)))+IF(J67="Yes",1,-1)+IF(OR(E67="Trending",E67="Volatile"),1,0))),"")</f>
        <v/>
      </c>
      <c r="M67" s="134" t="n"/>
    </row>
    <row r="68" ht="18" customHeight="1" s="98">
      <c r="A68" s="136" t="n"/>
      <c r="B68" s="136" t="n"/>
      <c r="C68" s="136" t="n"/>
      <c r="D68" s="136" t="n"/>
      <c r="E68" s="136" t="n"/>
      <c r="F68" s="136" t="n"/>
      <c r="G68" s="136" t="n"/>
      <c r="H68" s="136" t="n"/>
      <c r="I68" s="136" t="n"/>
      <c r="J68" s="136" t="n"/>
      <c r="K68" s="136" t="n"/>
      <c r="L68" s="137">
        <f>IFERROR(MAX(1,MIN(10,5+IF(I68&gt;=2,2,IF(I68&gt;=1.5,1,IF(I68&lt;1,-1,0)))+IF(J68="Yes",1,-1)+IF(OR(E68="Trending",E68="Volatile"),1,0))),"")</f>
        <v/>
      </c>
      <c r="M68" s="136" t="n"/>
    </row>
    <row r="69" ht="18" customHeight="1" s="98">
      <c r="A69" s="134" t="n"/>
      <c r="B69" s="134" t="n"/>
      <c r="C69" s="134" t="n"/>
      <c r="D69" s="134" t="n"/>
      <c r="E69" s="134" t="n"/>
      <c r="F69" s="134" t="n"/>
      <c r="G69" s="134" t="n"/>
      <c r="H69" s="134" t="n"/>
      <c r="I69" s="134" t="n"/>
      <c r="J69" s="134" t="n"/>
      <c r="K69" s="134" t="n"/>
      <c r="L69" s="135">
        <f>IFERROR(MAX(1,MIN(10,5+IF(I69&gt;=2,2,IF(I69&gt;=1.5,1,IF(I69&lt;1,-1,0)))+IF(J69="Yes",1,-1)+IF(OR(E69="Trending",E69="Volatile"),1,0))),"")</f>
        <v/>
      </c>
      <c r="M69" s="134" t="n"/>
    </row>
    <row r="70" ht="18" customHeight="1" s="98">
      <c r="A70" s="136" t="n"/>
      <c r="B70" s="136" t="n"/>
      <c r="C70" s="136" t="n"/>
      <c r="D70" s="136" t="n"/>
      <c r="E70" s="136" t="n"/>
      <c r="F70" s="136" t="n"/>
      <c r="G70" s="136" t="n"/>
      <c r="H70" s="136" t="n"/>
      <c r="I70" s="136" t="n"/>
      <c r="J70" s="136" t="n"/>
      <c r="K70" s="136" t="n"/>
      <c r="L70" s="137">
        <f>IFERROR(MAX(1,MIN(10,5+IF(I70&gt;=2,2,IF(I70&gt;=1.5,1,IF(I70&lt;1,-1,0)))+IF(J70="Yes",1,-1)+IF(OR(E70="Trending",E70="Volatile"),1,0))),"")</f>
        <v/>
      </c>
      <c r="M70" s="136" t="n"/>
    </row>
    <row r="71" ht="18" customHeight="1" s="98">
      <c r="A71" s="134" t="n"/>
      <c r="B71" s="134" t="n"/>
      <c r="C71" s="134" t="n"/>
      <c r="D71" s="134" t="n"/>
      <c r="E71" s="134" t="n"/>
      <c r="F71" s="134" t="n"/>
      <c r="G71" s="134" t="n"/>
      <c r="H71" s="134" t="n"/>
      <c r="I71" s="134" t="n"/>
      <c r="J71" s="134" t="n"/>
      <c r="K71" s="134" t="n"/>
      <c r="L71" s="135">
        <f>IFERROR(MAX(1,MIN(10,5+IF(I71&gt;=2,2,IF(I71&gt;=1.5,1,IF(I71&lt;1,-1,0)))+IF(J71="Yes",1,-1)+IF(OR(E71="Trending",E71="Volatile"),1,0))),"")</f>
        <v/>
      </c>
      <c r="M71" s="134" t="n"/>
    </row>
    <row r="72" ht="18" customHeight="1" s="98">
      <c r="A72" s="136" t="n"/>
      <c r="B72" s="136" t="n"/>
      <c r="C72" s="136" t="n"/>
      <c r="D72" s="136" t="n"/>
      <c r="E72" s="136" t="n"/>
      <c r="F72" s="136" t="n"/>
      <c r="G72" s="136" t="n"/>
      <c r="H72" s="136" t="n"/>
      <c r="I72" s="136" t="n"/>
      <c r="J72" s="136" t="n"/>
      <c r="K72" s="136" t="n"/>
      <c r="L72" s="137">
        <f>IFERROR(MAX(1,MIN(10,5+IF(I72&gt;=2,2,IF(I72&gt;=1.5,1,IF(I72&lt;1,-1,0)))+IF(J72="Yes",1,-1)+IF(OR(E72="Trending",E72="Volatile"),1,0))),"")</f>
        <v/>
      </c>
      <c r="M72" s="136" t="n"/>
    </row>
    <row r="73" ht="18" customHeight="1" s="98">
      <c r="A73" s="134" t="n"/>
      <c r="B73" s="134" t="n"/>
      <c r="C73" s="134" t="n"/>
      <c r="D73" s="134" t="n"/>
      <c r="E73" s="134" t="n"/>
      <c r="F73" s="134" t="n"/>
      <c r="G73" s="134" t="n"/>
      <c r="H73" s="134" t="n"/>
      <c r="I73" s="134" t="n"/>
      <c r="J73" s="134" t="n"/>
      <c r="K73" s="134" t="n"/>
      <c r="L73" s="135">
        <f>IFERROR(MAX(1,MIN(10,5+IF(I73&gt;=2,2,IF(I73&gt;=1.5,1,IF(I73&lt;1,-1,0)))+IF(J73="Yes",1,-1)+IF(OR(E73="Trending",E73="Volatile"),1,0))),"")</f>
        <v/>
      </c>
      <c r="M73" s="134" t="n"/>
    </row>
    <row r="74" ht="18" customHeight="1" s="98">
      <c r="A74" s="136" t="n"/>
      <c r="B74" s="136" t="n"/>
      <c r="C74" s="136" t="n"/>
      <c r="D74" s="136" t="n"/>
      <c r="E74" s="136" t="n"/>
      <c r="F74" s="136" t="n"/>
      <c r="G74" s="136" t="n"/>
      <c r="H74" s="136" t="n"/>
      <c r="I74" s="136" t="n"/>
      <c r="J74" s="136" t="n"/>
      <c r="K74" s="136" t="n"/>
      <c r="L74" s="137">
        <f>IFERROR(MAX(1,MIN(10,5+IF(I74&gt;=2,2,IF(I74&gt;=1.5,1,IF(I74&lt;1,-1,0)))+IF(J74="Yes",1,-1)+IF(OR(E74="Trending",E74="Volatile"),1,0))),"")</f>
        <v/>
      </c>
      <c r="M74" s="136" t="n"/>
    </row>
    <row r="75" ht="18" customHeight="1" s="98">
      <c r="A75" s="134" t="n"/>
      <c r="B75" s="134" t="n"/>
      <c r="C75" s="134" t="n"/>
      <c r="D75" s="134" t="n"/>
      <c r="E75" s="134" t="n"/>
      <c r="F75" s="134" t="n"/>
      <c r="G75" s="134" t="n"/>
      <c r="H75" s="134" t="n"/>
      <c r="I75" s="134" t="n"/>
      <c r="J75" s="134" t="n"/>
      <c r="K75" s="134" t="n"/>
      <c r="L75" s="135">
        <f>IFERROR(MAX(1,MIN(10,5+IF(I75&gt;=2,2,IF(I75&gt;=1.5,1,IF(I75&lt;1,-1,0)))+IF(J75="Yes",1,-1)+IF(OR(E75="Trending",E75="Volatile"),1,0))),"")</f>
        <v/>
      </c>
      <c r="M75" s="134" t="n"/>
    </row>
    <row r="76" ht="18" customHeight="1" s="98">
      <c r="A76" s="136" t="n"/>
      <c r="B76" s="136" t="n"/>
      <c r="C76" s="136" t="n"/>
      <c r="D76" s="136" t="n"/>
      <c r="E76" s="136" t="n"/>
      <c r="F76" s="136" t="n"/>
      <c r="G76" s="136" t="n"/>
      <c r="H76" s="136" t="n"/>
      <c r="I76" s="136" t="n"/>
      <c r="J76" s="136" t="n"/>
      <c r="K76" s="136" t="n"/>
      <c r="L76" s="137">
        <f>IFERROR(MAX(1,MIN(10,5+IF(I76&gt;=2,2,IF(I76&gt;=1.5,1,IF(I76&lt;1,-1,0)))+IF(J76="Yes",1,-1)+IF(OR(E76="Trending",E76="Volatile"),1,0))),"")</f>
        <v/>
      </c>
      <c r="M76" s="136" t="n"/>
    </row>
    <row r="77" ht="18" customHeight="1" s="98">
      <c r="A77" s="134" t="n"/>
      <c r="B77" s="134" t="n"/>
      <c r="C77" s="134" t="n"/>
      <c r="D77" s="134" t="n"/>
      <c r="E77" s="134" t="n"/>
      <c r="F77" s="134" t="n"/>
      <c r="G77" s="134" t="n"/>
      <c r="H77" s="134" t="n"/>
      <c r="I77" s="134" t="n"/>
      <c r="J77" s="134" t="n"/>
      <c r="K77" s="134" t="n"/>
      <c r="L77" s="135">
        <f>IFERROR(MAX(1,MIN(10,5+IF(I77&gt;=2,2,IF(I77&gt;=1.5,1,IF(I77&lt;1,-1,0)))+IF(J77="Yes",1,-1)+IF(OR(E77="Trending",E77="Volatile"),1,0))),"")</f>
        <v/>
      </c>
      <c r="M77" s="134" t="n"/>
    </row>
    <row r="78" ht="18" customHeight="1" s="98">
      <c r="A78" s="136" t="n"/>
      <c r="B78" s="136" t="n"/>
      <c r="C78" s="136" t="n"/>
      <c r="D78" s="136" t="n"/>
      <c r="E78" s="136" t="n"/>
      <c r="F78" s="136" t="n"/>
      <c r="G78" s="136" t="n"/>
      <c r="H78" s="136" t="n"/>
      <c r="I78" s="136" t="n"/>
      <c r="J78" s="136" t="n"/>
      <c r="K78" s="136" t="n"/>
      <c r="L78" s="137">
        <f>IFERROR(MAX(1,MIN(10,5+IF(I78&gt;=2,2,IF(I78&gt;=1.5,1,IF(I78&lt;1,-1,0)))+IF(J78="Yes",1,-1)+IF(OR(E78="Trending",E78="Volatile"),1,0))),"")</f>
        <v/>
      </c>
      <c r="M78" s="136" t="n"/>
    </row>
    <row r="79" ht="18" customHeight="1" s="98">
      <c r="A79" s="134" t="n"/>
      <c r="B79" s="134" t="n"/>
      <c r="C79" s="134" t="n"/>
      <c r="D79" s="134" t="n"/>
      <c r="E79" s="134" t="n"/>
      <c r="F79" s="134" t="n"/>
      <c r="G79" s="134" t="n"/>
      <c r="H79" s="134" t="n"/>
      <c r="I79" s="134" t="n"/>
      <c r="J79" s="134" t="n"/>
      <c r="K79" s="134" t="n"/>
      <c r="L79" s="135">
        <f>IFERROR(MAX(1,MIN(10,5+IF(I79&gt;=2,2,IF(I79&gt;=1.5,1,IF(I79&lt;1,-1,0)))+IF(J79="Yes",1,-1)+IF(OR(E79="Trending",E79="Volatile"),1,0))),"")</f>
        <v/>
      </c>
      <c r="M79" s="134" t="n"/>
    </row>
    <row r="80" ht="18" customHeight="1" s="98">
      <c r="A80" s="136" t="n"/>
      <c r="B80" s="136" t="n"/>
      <c r="C80" s="136" t="n"/>
      <c r="D80" s="136" t="n"/>
      <c r="E80" s="136" t="n"/>
      <c r="F80" s="136" t="n"/>
      <c r="G80" s="136" t="n"/>
      <c r="H80" s="136" t="n"/>
      <c r="I80" s="136" t="n"/>
      <c r="J80" s="136" t="n"/>
      <c r="K80" s="136" t="n"/>
      <c r="L80" s="137">
        <f>IFERROR(MAX(1,MIN(10,5+IF(I80&gt;=2,2,IF(I80&gt;=1.5,1,IF(I80&lt;1,-1,0)))+IF(J80="Yes",1,-1)+IF(OR(E80="Trending",E80="Volatile"),1,0))),"")</f>
        <v/>
      </c>
      <c r="M80" s="136" t="n"/>
    </row>
    <row r="81" ht="18" customHeight="1" s="98">
      <c r="A81" s="134" t="n"/>
      <c r="B81" s="134" t="n"/>
      <c r="C81" s="134" t="n"/>
      <c r="D81" s="134" t="n"/>
      <c r="E81" s="134" t="n"/>
      <c r="F81" s="134" t="n"/>
      <c r="G81" s="134" t="n"/>
      <c r="H81" s="134" t="n"/>
      <c r="I81" s="134" t="n"/>
      <c r="J81" s="134" t="n"/>
      <c r="K81" s="134" t="n"/>
      <c r="L81" s="135">
        <f>IFERROR(MAX(1,MIN(10,5+IF(I81&gt;=2,2,IF(I81&gt;=1.5,1,IF(I81&lt;1,-1,0)))+IF(J81="Yes",1,-1)+IF(OR(E81="Trending",E81="Volatile"),1,0))),"")</f>
        <v/>
      </c>
      <c r="M81" s="134" t="n"/>
    </row>
    <row r="82" ht="18" customHeight="1" s="98">
      <c r="A82" s="136" t="n"/>
      <c r="B82" s="136" t="n"/>
      <c r="C82" s="136" t="n"/>
      <c r="D82" s="136" t="n"/>
      <c r="E82" s="136" t="n"/>
      <c r="F82" s="136" t="n"/>
      <c r="G82" s="136" t="n"/>
      <c r="H82" s="136" t="n"/>
      <c r="I82" s="136" t="n"/>
      <c r="J82" s="136" t="n"/>
      <c r="K82" s="136" t="n"/>
      <c r="L82" s="137">
        <f>IFERROR(MAX(1,MIN(10,5+IF(I82&gt;=2,2,IF(I82&gt;=1.5,1,IF(I82&lt;1,-1,0)))+IF(J82="Yes",1,-1)+IF(OR(E82="Trending",E82="Volatile"),1,0))),"")</f>
        <v/>
      </c>
      <c r="M82" s="136" t="n"/>
    </row>
    <row r="83" ht="18" customHeight="1" s="98">
      <c r="A83" s="134" t="n"/>
      <c r="B83" s="134" t="n"/>
      <c r="C83" s="134" t="n"/>
      <c r="D83" s="134" t="n"/>
      <c r="E83" s="134" t="n"/>
      <c r="F83" s="134" t="n"/>
      <c r="G83" s="134" t="n"/>
      <c r="H83" s="134" t="n"/>
      <c r="I83" s="134" t="n"/>
      <c r="J83" s="134" t="n"/>
      <c r="K83" s="134" t="n"/>
      <c r="L83" s="135">
        <f>IFERROR(MAX(1,MIN(10,5+IF(I83&gt;=2,2,IF(I83&gt;=1.5,1,IF(I83&lt;1,-1,0)))+IF(J83="Yes",1,-1)+IF(OR(E83="Trending",E83="Volatile"),1,0))),"")</f>
        <v/>
      </c>
      <c r="M83" s="134" t="n"/>
    </row>
    <row r="84" ht="18" customHeight="1" s="98">
      <c r="A84" s="136" t="n"/>
      <c r="B84" s="136" t="n"/>
      <c r="C84" s="136" t="n"/>
      <c r="D84" s="136" t="n"/>
      <c r="E84" s="136" t="n"/>
      <c r="F84" s="136" t="n"/>
      <c r="G84" s="136" t="n"/>
      <c r="H84" s="136" t="n"/>
      <c r="I84" s="136" t="n"/>
      <c r="J84" s="136" t="n"/>
      <c r="K84" s="136" t="n"/>
      <c r="L84" s="137">
        <f>IFERROR(MAX(1,MIN(10,5+IF(I84&gt;=2,2,IF(I84&gt;=1.5,1,IF(I84&lt;1,-1,0)))+IF(J84="Yes",1,-1)+IF(OR(E84="Trending",E84="Volatile"),1,0))),"")</f>
        <v/>
      </c>
      <c r="M84" s="136" t="n"/>
    </row>
    <row r="85" ht="18" customHeight="1" s="98">
      <c r="A85" s="134" t="n"/>
      <c r="B85" s="134" t="n"/>
      <c r="C85" s="134" t="n"/>
      <c r="D85" s="134" t="n"/>
      <c r="E85" s="134" t="n"/>
      <c r="F85" s="134" t="n"/>
      <c r="G85" s="134" t="n"/>
      <c r="H85" s="134" t="n"/>
      <c r="I85" s="134" t="n"/>
      <c r="J85" s="134" t="n"/>
      <c r="K85" s="134" t="n"/>
      <c r="L85" s="135">
        <f>IFERROR(MAX(1,MIN(10,5+IF(I85&gt;=2,2,IF(I85&gt;=1.5,1,IF(I85&lt;1,-1,0)))+IF(J85="Yes",1,-1)+IF(OR(E85="Trending",E85="Volatile"),1,0))),"")</f>
        <v/>
      </c>
      <c r="M85" s="134" t="n"/>
    </row>
    <row r="86" ht="18" customHeight="1" s="98">
      <c r="A86" s="136" t="n"/>
      <c r="B86" s="136" t="n"/>
      <c r="C86" s="136" t="n"/>
      <c r="D86" s="136" t="n"/>
      <c r="E86" s="136" t="n"/>
      <c r="F86" s="136" t="n"/>
      <c r="G86" s="136" t="n"/>
      <c r="H86" s="136" t="n"/>
      <c r="I86" s="136" t="n"/>
      <c r="J86" s="136" t="n"/>
      <c r="K86" s="136" t="n"/>
      <c r="L86" s="137">
        <f>IFERROR(MAX(1,MIN(10,5+IF(I86&gt;=2,2,IF(I86&gt;=1.5,1,IF(I86&lt;1,-1,0)))+IF(J86="Yes",1,-1)+IF(OR(E86="Trending",E86="Volatile"),1,0))),"")</f>
        <v/>
      </c>
      <c r="M86" s="136" t="n"/>
    </row>
    <row r="87" ht="18" customHeight="1" s="98">
      <c r="A87" s="134" t="n"/>
      <c r="B87" s="134" t="n"/>
      <c r="C87" s="134" t="n"/>
      <c r="D87" s="134" t="n"/>
      <c r="E87" s="134" t="n"/>
      <c r="F87" s="134" t="n"/>
      <c r="G87" s="134" t="n"/>
      <c r="H87" s="134" t="n"/>
      <c r="I87" s="134" t="n"/>
      <c r="J87" s="134" t="n"/>
      <c r="K87" s="134" t="n"/>
      <c r="L87" s="135">
        <f>IFERROR(MAX(1,MIN(10,5+IF(I87&gt;=2,2,IF(I87&gt;=1.5,1,IF(I87&lt;1,-1,0)))+IF(J87="Yes",1,-1)+IF(OR(E87="Trending",E87="Volatile"),1,0))),"")</f>
        <v/>
      </c>
      <c r="M87" s="134" t="n"/>
    </row>
    <row r="88" ht="18" customHeight="1" s="98">
      <c r="A88" s="136" t="n"/>
      <c r="B88" s="136" t="n"/>
      <c r="C88" s="136" t="n"/>
      <c r="D88" s="136" t="n"/>
      <c r="E88" s="136" t="n"/>
      <c r="F88" s="136" t="n"/>
      <c r="G88" s="136" t="n"/>
      <c r="H88" s="136" t="n"/>
      <c r="I88" s="136" t="n"/>
      <c r="J88" s="136" t="n"/>
      <c r="K88" s="136" t="n"/>
      <c r="L88" s="137">
        <f>IFERROR(MAX(1,MIN(10,5+IF(I88&gt;=2,2,IF(I88&gt;=1.5,1,IF(I88&lt;1,-1,0)))+IF(J88="Yes",1,-1)+IF(OR(E88="Trending",E88="Volatile"),1,0))),"")</f>
        <v/>
      </c>
      <c r="M88" s="136" t="n"/>
    </row>
    <row r="89" ht="18" customHeight="1" s="98">
      <c r="A89" s="134" t="n"/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5">
        <f>IFERROR(MAX(1,MIN(10,5+IF(I89&gt;=2,2,IF(I89&gt;=1.5,1,IF(I89&lt;1,-1,0)))+IF(J89="Yes",1,-1)+IF(OR(E89="Trending",E89="Volatile"),1,0))),"")</f>
        <v/>
      </c>
      <c r="M89" s="134" t="n"/>
    </row>
    <row r="90" ht="18" customHeight="1" s="98">
      <c r="A90" s="136" t="n"/>
      <c r="B90" s="136" t="n"/>
      <c r="C90" s="136" t="n"/>
      <c r="D90" s="136" t="n"/>
      <c r="E90" s="136" t="n"/>
      <c r="F90" s="136" t="n"/>
      <c r="G90" s="136" t="n"/>
      <c r="H90" s="136" t="n"/>
      <c r="I90" s="136" t="n"/>
      <c r="J90" s="136" t="n"/>
      <c r="K90" s="136" t="n"/>
      <c r="L90" s="137">
        <f>IFERROR(MAX(1,MIN(10,5+IF(I90&gt;=2,2,IF(I90&gt;=1.5,1,IF(I90&lt;1,-1,0)))+IF(J90="Yes",1,-1)+IF(OR(E90="Trending",E90="Volatile"),1,0))),"")</f>
        <v/>
      </c>
      <c r="M90" s="136" t="n"/>
    </row>
    <row r="91" ht="18" customHeight="1" s="98">
      <c r="A91" s="134" t="n"/>
      <c r="B91" s="134" t="n"/>
      <c r="C91" s="134" t="n"/>
      <c r="D91" s="134" t="n"/>
      <c r="E91" s="134" t="n"/>
      <c r="F91" s="134" t="n"/>
      <c r="G91" s="134" t="n"/>
      <c r="H91" s="134" t="n"/>
      <c r="I91" s="134" t="n"/>
      <c r="J91" s="134" t="n"/>
      <c r="K91" s="134" t="n"/>
      <c r="L91" s="135">
        <f>IFERROR(MAX(1,MIN(10,5+IF(I91&gt;=2,2,IF(I91&gt;=1.5,1,IF(I91&lt;1,-1,0)))+IF(J91="Yes",1,-1)+IF(OR(E91="Trending",E91="Volatile"),1,0))),"")</f>
        <v/>
      </c>
      <c r="M91" s="134" t="n"/>
    </row>
    <row r="92" ht="18" customHeight="1" s="98">
      <c r="A92" s="136" t="n"/>
      <c r="B92" s="136" t="n"/>
      <c r="C92" s="136" t="n"/>
      <c r="D92" s="136" t="n"/>
      <c r="E92" s="136" t="n"/>
      <c r="F92" s="136" t="n"/>
      <c r="G92" s="136" t="n"/>
      <c r="H92" s="136" t="n"/>
      <c r="I92" s="136" t="n"/>
      <c r="J92" s="136" t="n"/>
      <c r="K92" s="136" t="n"/>
      <c r="L92" s="137">
        <f>IFERROR(MAX(1,MIN(10,5+IF(I92&gt;=2,2,IF(I92&gt;=1.5,1,IF(I92&lt;1,-1,0)))+IF(J92="Yes",1,-1)+IF(OR(E92="Trending",E92="Volatile"),1,0))),"")</f>
        <v/>
      </c>
      <c r="M92" s="136" t="n"/>
    </row>
    <row r="93" ht="18" customHeight="1" s="98">
      <c r="A93" s="134" t="n"/>
      <c r="B93" s="134" t="n"/>
      <c r="C93" s="134" t="n"/>
      <c r="D93" s="134" t="n"/>
      <c r="E93" s="134" t="n"/>
      <c r="F93" s="134" t="n"/>
      <c r="G93" s="134" t="n"/>
      <c r="H93" s="134" t="n"/>
      <c r="I93" s="134" t="n"/>
      <c r="J93" s="134" t="n"/>
      <c r="K93" s="134" t="n"/>
      <c r="L93" s="135">
        <f>IFERROR(MAX(1,MIN(10,5+IF(I93&gt;=2,2,IF(I93&gt;=1.5,1,IF(I93&lt;1,-1,0)))+IF(J93="Yes",1,-1)+IF(OR(E93="Trending",E93="Volatile"),1,0))),"")</f>
        <v/>
      </c>
      <c r="M93" s="134" t="n"/>
    </row>
    <row r="94" ht="18" customHeight="1" s="98">
      <c r="A94" s="136" t="n"/>
      <c r="B94" s="136" t="n"/>
      <c r="C94" s="136" t="n"/>
      <c r="D94" s="136" t="n"/>
      <c r="E94" s="136" t="n"/>
      <c r="F94" s="136" t="n"/>
      <c r="G94" s="136" t="n"/>
      <c r="H94" s="136" t="n"/>
      <c r="I94" s="136" t="n"/>
      <c r="J94" s="136" t="n"/>
      <c r="K94" s="136" t="n"/>
      <c r="L94" s="137">
        <f>IFERROR(MAX(1,MIN(10,5+IF(I94&gt;=2,2,IF(I94&gt;=1.5,1,IF(I94&lt;1,-1,0)))+IF(J94="Yes",1,-1)+IF(OR(E94="Trending",E94="Volatile"),1,0))),"")</f>
        <v/>
      </c>
      <c r="M94" s="136" t="n"/>
    </row>
    <row r="95" ht="18" customHeight="1" s="98">
      <c r="A95" s="134" t="n"/>
      <c r="B95" s="134" t="n"/>
      <c r="C95" s="134" t="n"/>
      <c r="D95" s="134" t="n"/>
      <c r="E95" s="134" t="n"/>
      <c r="F95" s="134" t="n"/>
      <c r="G95" s="134" t="n"/>
      <c r="H95" s="134" t="n"/>
      <c r="I95" s="134" t="n"/>
      <c r="J95" s="134" t="n"/>
      <c r="K95" s="134" t="n"/>
      <c r="L95" s="135">
        <f>IFERROR(MAX(1,MIN(10,5+IF(I95&gt;=2,2,IF(I95&gt;=1.5,1,IF(I95&lt;1,-1,0)))+IF(J95="Yes",1,-1)+IF(OR(E95="Trending",E95="Volatile"),1,0))),"")</f>
        <v/>
      </c>
      <c r="M95" s="134" t="n"/>
    </row>
    <row r="96" ht="18" customHeight="1" s="98">
      <c r="A96" s="136" t="n"/>
      <c r="B96" s="136" t="n"/>
      <c r="C96" s="136" t="n"/>
      <c r="D96" s="136" t="n"/>
      <c r="E96" s="136" t="n"/>
      <c r="F96" s="136" t="n"/>
      <c r="G96" s="136" t="n"/>
      <c r="H96" s="136" t="n"/>
      <c r="I96" s="136" t="n"/>
      <c r="J96" s="136" t="n"/>
      <c r="K96" s="136" t="n"/>
      <c r="L96" s="137">
        <f>IFERROR(MAX(1,MIN(10,5+IF(I96&gt;=2,2,IF(I96&gt;=1.5,1,IF(I96&lt;1,-1,0)))+IF(J96="Yes",1,-1)+IF(OR(E96="Trending",E96="Volatile"),1,0))),"")</f>
        <v/>
      </c>
      <c r="M96" s="136" t="n"/>
    </row>
    <row r="97" ht="18" customHeight="1" s="98">
      <c r="A97" s="134" t="n"/>
      <c r="B97" s="134" t="n"/>
      <c r="C97" s="134" t="n"/>
      <c r="D97" s="134" t="n"/>
      <c r="E97" s="134" t="n"/>
      <c r="F97" s="134" t="n"/>
      <c r="G97" s="134" t="n"/>
      <c r="H97" s="134" t="n"/>
      <c r="I97" s="134" t="n"/>
      <c r="J97" s="134" t="n"/>
      <c r="K97" s="134" t="n"/>
      <c r="L97" s="135">
        <f>IFERROR(MAX(1,MIN(10,5+IF(I97&gt;=2,2,IF(I97&gt;=1.5,1,IF(I97&lt;1,-1,0)))+IF(J97="Yes",1,-1)+IF(OR(E97="Trending",E97="Volatile"),1,0))),"")</f>
        <v/>
      </c>
      <c r="M97" s="134" t="n"/>
    </row>
    <row r="98" ht="18" customHeight="1" s="98">
      <c r="A98" s="136" t="n"/>
      <c r="B98" s="136" t="n"/>
      <c r="C98" s="136" t="n"/>
      <c r="D98" s="136" t="n"/>
      <c r="E98" s="136" t="n"/>
      <c r="F98" s="136" t="n"/>
      <c r="G98" s="136" t="n"/>
      <c r="H98" s="136" t="n"/>
      <c r="I98" s="136" t="n"/>
      <c r="J98" s="136" t="n"/>
      <c r="K98" s="136" t="n"/>
      <c r="L98" s="137">
        <f>IFERROR(MAX(1,MIN(10,5+IF(I98&gt;=2,2,IF(I98&gt;=1.5,1,IF(I98&lt;1,-1,0)))+IF(J98="Yes",1,-1)+IF(OR(E98="Trending",E98="Volatile"),1,0))),"")</f>
        <v/>
      </c>
      <c r="M98" s="136" t="n"/>
    </row>
    <row r="99" ht="18" customHeight="1" s="98">
      <c r="A99" s="134" t="n"/>
      <c r="B99" s="134" t="n"/>
      <c r="C99" s="134" t="n"/>
      <c r="D99" s="134" t="n"/>
      <c r="E99" s="134" t="n"/>
      <c r="F99" s="134" t="n"/>
      <c r="G99" s="134" t="n"/>
      <c r="H99" s="134" t="n"/>
      <c r="I99" s="134" t="n"/>
      <c r="J99" s="134" t="n"/>
      <c r="K99" s="134" t="n"/>
      <c r="L99" s="135">
        <f>IFERROR(MAX(1,MIN(10,5+IF(I99&gt;=2,2,IF(I99&gt;=1.5,1,IF(I99&lt;1,-1,0)))+IF(J99="Yes",1,-1)+IF(OR(E99="Trending",E99="Volatile"),1,0))),"")</f>
        <v/>
      </c>
      <c r="M99" s="134" t="n"/>
    </row>
    <row r="100" ht="18" customHeight="1" s="98">
      <c r="A100" s="136" t="n"/>
      <c r="B100" s="136" t="n"/>
      <c r="C100" s="136" t="n"/>
      <c r="D100" s="136" t="n"/>
      <c r="E100" s="136" t="n"/>
      <c r="F100" s="136" t="n"/>
      <c r="G100" s="136" t="n"/>
      <c r="H100" s="136" t="n"/>
      <c r="I100" s="136" t="n"/>
      <c r="J100" s="136" t="n"/>
      <c r="K100" s="136" t="n"/>
      <c r="L100" s="137">
        <f>IFERROR(MAX(1,MIN(10,5+IF(I100&gt;=2,2,IF(I100&gt;=1.5,1,IF(I100&lt;1,-1,0)))+IF(J100="Yes",1,-1)+IF(OR(E100="Trending",E100="Volatile"),1,0))),"")</f>
        <v/>
      </c>
      <c r="M100" s="136" t="n"/>
    </row>
    <row r="101" ht="18" customHeight="1" s="98">
      <c r="A101" s="134" t="n"/>
      <c r="B101" s="134" t="n"/>
      <c r="C101" s="134" t="n"/>
      <c r="D101" s="134" t="n"/>
      <c r="E101" s="134" t="n"/>
      <c r="F101" s="134" t="n"/>
      <c r="G101" s="134" t="n"/>
      <c r="H101" s="134" t="n"/>
      <c r="I101" s="134" t="n"/>
      <c r="J101" s="134" t="n"/>
      <c r="K101" s="134" t="n"/>
      <c r="L101" s="135">
        <f>IFERROR(MAX(1,MIN(10,5+IF(I101&gt;=2,2,IF(I101&gt;=1.5,1,IF(I101&lt;1,-1,0)))+IF(J101="Yes",1,-1)+IF(OR(E101="Trending",E101="Volatile"),1,0))),"")</f>
        <v/>
      </c>
      <c r="M101" s="134" t="n"/>
    </row>
    <row r="102" ht="18" customHeight="1" s="98">
      <c r="A102" s="136" t="n"/>
      <c r="B102" s="136" t="n"/>
      <c r="C102" s="136" t="n"/>
      <c r="D102" s="136" t="n"/>
      <c r="E102" s="136" t="n"/>
      <c r="F102" s="136" t="n"/>
      <c r="G102" s="136" t="n"/>
      <c r="H102" s="136" t="n"/>
      <c r="I102" s="136" t="n"/>
      <c r="J102" s="136" t="n"/>
      <c r="K102" s="136" t="n"/>
      <c r="L102" s="137">
        <f>IFERROR(MAX(1,MIN(10,5+IF(I102&gt;=2,2,IF(I102&gt;=1.5,1,IF(I102&lt;1,-1,0)))+IF(J102="Yes",1,-1)+IF(OR(E102="Trending",E102="Volatile"),1,0))),"")</f>
        <v/>
      </c>
      <c r="M102" s="136" t="n"/>
    </row>
    <row r="103" ht="18" customHeight="1" s="98">
      <c r="A103" s="134" t="n"/>
      <c r="B103" s="134" t="n"/>
      <c r="C103" s="134" t="n"/>
      <c r="D103" s="134" t="n"/>
      <c r="E103" s="134" t="n"/>
      <c r="F103" s="134" t="n"/>
      <c r="G103" s="134" t="n"/>
      <c r="H103" s="134" t="n"/>
      <c r="I103" s="134" t="n"/>
      <c r="J103" s="134" t="n"/>
      <c r="K103" s="134" t="n"/>
      <c r="L103" s="135">
        <f>IFERROR(MAX(1,MIN(10,5+IF(I103&gt;=2,2,IF(I103&gt;=1.5,1,IF(I103&lt;1,-1,0)))+IF(J103="Yes",1,-1)+IF(OR(E103="Trending",E103="Volatile"),1,0))),"")</f>
        <v/>
      </c>
      <c r="M103" s="134" t="n"/>
    </row>
    <row r="104" ht="18" customHeight="1" s="98">
      <c r="A104" s="136" t="n"/>
      <c r="B104" s="136" t="n"/>
      <c r="C104" s="136" t="n"/>
      <c r="D104" s="136" t="n"/>
      <c r="E104" s="136" t="n"/>
      <c r="F104" s="136" t="n"/>
      <c r="G104" s="136" t="n"/>
      <c r="H104" s="136" t="n"/>
      <c r="I104" s="136" t="n"/>
      <c r="J104" s="136" t="n"/>
      <c r="K104" s="136" t="n"/>
      <c r="L104" s="137">
        <f>IFERROR(MAX(1,MIN(10,5+IF(I104&gt;=2,2,IF(I104&gt;=1.5,1,IF(I104&lt;1,-1,0)))+IF(J104="Yes",1,-1)+IF(OR(E104="Trending",E104="Volatile"),1,0))),"")</f>
        <v/>
      </c>
      <c r="M104" s="136" t="n"/>
    </row>
    <row r="105" ht="18" customHeight="1" s="98">
      <c r="A105" s="134" t="n"/>
      <c r="B105" s="134" t="n"/>
      <c r="C105" s="134" t="n"/>
      <c r="D105" s="134" t="n"/>
      <c r="E105" s="134" t="n"/>
      <c r="F105" s="134" t="n"/>
      <c r="G105" s="134" t="n"/>
      <c r="H105" s="134" t="n"/>
      <c r="I105" s="134" t="n"/>
      <c r="J105" s="134" t="n"/>
      <c r="K105" s="134" t="n"/>
      <c r="L105" s="135">
        <f>IFERROR(MAX(1,MIN(10,5+IF(I105&gt;=2,2,IF(I105&gt;=1.5,1,IF(I105&lt;1,-1,0)))+IF(J105="Yes",1,-1)+IF(OR(E105="Trending",E105="Volatile"),1,0))),"")</f>
        <v/>
      </c>
      <c r="M105" s="134" t="n"/>
    </row>
    <row r="106" ht="18" customHeight="1" s="98">
      <c r="A106" s="136" t="n"/>
      <c r="B106" s="136" t="n"/>
      <c r="C106" s="136" t="n"/>
      <c r="D106" s="136" t="n"/>
      <c r="E106" s="136" t="n"/>
      <c r="F106" s="136" t="n"/>
      <c r="G106" s="136" t="n"/>
      <c r="H106" s="136" t="n"/>
      <c r="I106" s="136" t="n"/>
      <c r="J106" s="136" t="n"/>
      <c r="K106" s="136" t="n"/>
      <c r="L106" s="137">
        <f>IFERROR(MAX(1,MIN(10,5+IF(I106&gt;=2,2,IF(I106&gt;=1.5,1,IF(I106&lt;1,-1,0)))+IF(J106="Yes",1,-1)+IF(OR(E106="Trending",E106="Volatile"),1,0))),"")</f>
        <v/>
      </c>
      <c r="M106" s="136" t="n"/>
    </row>
    <row r="107" ht="18" customHeight="1" s="98">
      <c r="A107" s="134" t="n"/>
      <c r="B107" s="134" t="n"/>
      <c r="C107" s="134" t="n"/>
      <c r="D107" s="134" t="n"/>
      <c r="E107" s="134" t="n"/>
      <c r="F107" s="134" t="n"/>
      <c r="G107" s="134" t="n"/>
      <c r="H107" s="134" t="n"/>
      <c r="I107" s="134" t="n"/>
      <c r="J107" s="134" t="n"/>
      <c r="K107" s="134" t="n"/>
      <c r="L107" s="135">
        <f>IFERROR(MAX(1,MIN(10,5+IF(I107&gt;=2,2,IF(I107&gt;=1.5,1,IF(I107&lt;1,-1,0)))+IF(J107="Yes",1,-1)+IF(OR(E107="Trending",E107="Volatile"),1,0))),"")</f>
        <v/>
      </c>
      <c r="M107" s="134" t="n"/>
    </row>
    <row r="108" ht="18" customHeight="1" s="98">
      <c r="A108" s="136" t="n"/>
      <c r="B108" s="136" t="n"/>
      <c r="C108" s="136" t="n"/>
      <c r="D108" s="136" t="n"/>
      <c r="E108" s="136" t="n"/>
      <c r="F108" s="136" t="n"/>
      <c r="G108" s="136" t="n"/>
      <c r="H108" s="136" t="n"/>
      <c r="I108" s="136" t="n"/>
      <c r="J108" s="136" t="n"/>
      <c r="K108" s="136" t="n"/>
      <c r="L108" s="137">
        <f>IFERROR(MAX(1,MIN(10,5+IF(I108&gt;=2,2,IF(I108&gt;=1.5,1,IF(I108&lt;1,-1,0)))+IF(J108="Yes",1,-1)+IF(OR(E108="Trending",E108="Volatile"),1,0))),"")</f>
        <v/>
      </c>
      <c r="M108" s="136" t="n"/>
    </row>
    <row r="109" ht="18" customHeight="1" s="98">
      <c r="A109" s="134" t="n"/>
      <c r="B109" s="134" t="n"/>
      <c r="C109" s="134" t="n"/>
      <c r="D109" s="134" t="n"/>
      <c r="E109" s="134" t="n"/>
      <c r="F109" s="134" t="n"/>
      <c r="G109" s="134" t="n"/>
      <c r="H109" s="134" t="n"/>
      <c r="I109" s="134" t="n"/>
      <c r="J109" s="134" t="n"/>
      <c r="K109" s="134" t="n"/>
      <c r="L109" s="135">
        <f>IFERROR(MAX(1,MIN(10,5+IF(I109&gt;=2,2,IF(I109&gt;=1.5,1,IF(I109&lt;1,-1,0)))+IF(J109="Yes",1,-1)+IF(OR(E109="Trending",E109="Volatile"),1,0))),"")</f>
        <v/>
      </c>
      <c r="M109" s="134" t="n"/>
    </row>
    <row r="110" ht="18" customHeight="1" s="98">
      <c r="A110" s="136" t="n"/>
      <c r="B110" s="136" t="n"/>
      <c r="C110" s="136" t="n"/>
      <c r="D110" s="136" t="n"/>
      <c r="E110" s="136" t="n"/>
      <c r="F110" s="136" t="n"/>
      <c r="G110" s="136" t="n"/>
      <c r="H110" s="136" t="n"/>
      <c r="I110" s="136" t="n"/>
      <c r="J110" s="136" t="n"/>
      <c r="K110" s="136" t="n"/>
      <c r="L110" s="137">
        <f>IFERROR(MAX(1,MIN(10,5+IF(I110&gt;=2,2,IF(I110&gt;=1.5,1,IF(I110&lt;1,-1,0)))+IF(J110="Yes",1,-1)+IF(OR(E110="Trending",E110="Volatile"),1,0))),"")</f>
        <v/>
      </c>
      <c r="M110" s="136" t="n"/>
    </row>
    <row r="111" ht="18" customHeight="1" s="98">
      <c r="A111" s="134" t="n"/>
      <c r="B111" s="134" t="n"/>
      <c r="C111" s="134" t="n"/>
      <c r="D111" s="134" t="n"/>
      <c r="E111" s="134" t="n"/>
      <c r="F111" s="134" t="n"/>
      <c r="G111" s="134" t="n"/>
      <c r="H111" s="134" t="n"/>
      <c r="I111" s="134" t="n"/>
      <c r="J111" s="134" t="n"/>
      <c r="K111" s="134" t="n"/>
      <c r="L111" s="135">
        <f>IFERROR(MAX(1,MIN(10,5+IF(I111&gt;=2,2,IF(I111&gt;=1.5,1,IF(I111&lt;1,-1,0)))+IF(J111="Yes",1,-1)+IF(OR(E111="Trending",E111="Volatile"),1,0))),"")</f>
        <v/>
      </c>
      <c r="M111" s="134" t="n"/>
    </row>
    <row r="112" ht="18" customHeight="1" s="98">
      <c r="A112" s="136" t="n"/>
      <c r="B112" s="136" t="n"/>
      <c r="C112" s="136" t="n"/>
      <c r="D112" s="136" t="n"/>
      <c r="E112" s="136" t="n"/>
      <c r="F112" s="136" t="n"/>
      <c r="G112" s="136" t="n"/>
      <c r="H112" s="136" t="n"/>
      <c r="I112" s="136" t="n"/>
      <c r="J112" s="136" t="n"/>
      <c r="K112" s="136" t="n"/>
      <c r="L112" s="137">
        <f>IFERROR(MAX(1,MIN(10,5+IF(I112&gt;=2,2,IF(I112&gt;=1.5,1,IF(I112&lt;1,-1,0)))+IF(J112="Yes",1,-1)+IF(OR(E112="Trending",E112="Volatile"),1,0))),"")</f>
        <v/>
      </c>
      <c r="M112" s="136" t="n"/>
    </row>
    <row r="113" ht="18" customHeight="1" s="98">
      <c r="A113" s="134" t="n"/>
      <c r="B113" s="134" t="n"/>
      <c r="C113" s="134" t="n"/>
      <c r="D113" s="134" t="n"/>
      <c r="E113" s="134" t="n"/>
      <c r="F113" s="134" t="n"/>
      <c r="G113" s="134" t="n"/>
      <c r="H113" s="134" t="n"/>
      <c r="I113" s="134" t="n"/>
      <c r="J113" s="134" t="n"/>
      <c r="K113" s="134" t="n"/>
      <c r="L113" s="135">
        <f>IFERROR(MAX(1,MIN(10,5+IF(I113&gt;=2,2,IF(I113&gt;=1.5,1,IF(I113&lt;1,-1,0)))+IF(J113="Yes",1,-1)+IF(OR(E113="Trending",E113="Volatile"),1,0))),"")</f>
        <v/>
      </c>
      <c r="M113" s="134" t="n"/>
    </row>
    <row r="114" ht="18" customHeight="1" s="98">
      <c r="A114" s="136" t="n"/>
      <c r="B114" s="136" t="n"/>
      <c r="C114" s="136" t="n"/>
      <c r="D114" s="136" t="n"/>
      <c r="E114" s="136" t="n"/>
      <c r="F114" s="136" t="n"/>
      <c r="G114" s="136" t="n"/>
      <c r="H114" s="136" t="n"/>
      <c r="I114" s="136" t="n"/>
      <c r="J114" s="136" t="n"/>
      <c r="K114" s="136" t="n"/>
      <c r="L114" s="137">
        <f>IFERROR(MAX(1,MIN(10,5+IF(I114&gt;=2,2,IF(I114&gt;=1.5,1,IF(I114&lt;1,-1,0)))+IF(J114="Yes",1,-1)+IF(OR(E114="Trending",E114="Volatile"),1,0))),"")</f>
        <v/>
      </c>
      <c r="M114" s="136" t="n"/>
    </row>
    <row r="115" ht="18" customHeight="1" s="98">
      <c r="A115" s="134" t="n"/>
      <c r="B115" s="134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5">
        <f>IFERROR(MAX(1,MIN(10,5+IF(I115&gt;=2,2,IF(I115&gt;=1.5,1,IF(I115&lt;1,-1,0)))+IF(J115="Yes",1,-1)+IF(OR(E115="Trending",E115="Volatile"),1,0))),"")</f>
        <v/>
      </c>
      <c r="M115" s="134" t="n"/>
    </row>
    <row r="116" ht="18" customHeight="1" s="98">
      <c r="A116" s="136" t="n"/>
      <c r="B116" s="136" t="n"/>
      <c r="C116" s="136" t="n"/>
      <c r="D116" s="136" t="n"/>
      <c r="E116" s="136" t="n"/>
      <c r="F116" s="136" t="n"/>
      <c r="G116" s="136" t="n"/>
      <c r="H116" s="136" t="n"/>
      <c r="I116" s="136" t="n"/>
      <c r="J116" s="136" t="n"/>
      <c r="K116" s="136" t="n"/>
      <c r="L116" s="137">
        <f>IFERROR(MAX(1,MIN(10,5+IF(I116&gt;=2,2,IF(I116&gt;=1.5,1,IF(I116&lt;1,-1,0)))+IF(J116="Yes",1,-1)+IF(OR(E116="Trending",E116="Volatile"),1,0))),"")</f>
        <v/>
      </c>
      <c r="M116" s="136" t="n"/>
    </row>
    <row r="117" ht="18" customHeight="1" s="98">
      <c r="A117" s="134" t="n"/>
      <c r="B117" s="134" t="n"/>
      <c r="C117" s="134" t="n"/>
      <c r="D117" s="134" t="n"/>
      <c r="E117" s="134" t="n"/>
      <c r="F117" s="134" t="n"/>
      <c r="G117" s="134" t="n"/>
      <c r="H117" s="134" t="n"/>
      <c r="I117" s="134" t="n"/>
      <c r="J117" s="134" t="n"/>
      <c r="K117" s="134" t="n"/>
      <c r="L117" s="135">
        <f>IFERROR(MAX(1,MIN(10,5+IF(I117&gt;=2,2,IF(I117&gt;=1.5,1,IF(I117&lt;1,-1,0)))+IF(J117="Yes",1,-1)+IF(OR(E117="Trending",E117="Volatile"),1,0))),"")</f>
        <v/>
      </c>
      <c r="M117" s="134" t="n"/>
    </row>
    <row r="118" ht="18" customHeight="1" s="98">
      <c r="A118" s="136" t="n"/>
      <c r="B118" s="136" t="n"/>
      <c r="C118" s="136" t="n"/>
      <c r="D118" s="136" t="n"/>
      <c r="E118" s="136" t="n"/>
      <c r="F118" s="136" t="n"/>
      <c r="G118" s="136" t="n"/>
      <c r="H118" s="136" t="n"/>
      <c r="I118" s="136" t="n"/>
      <c r="J118" s="136" t="n"/>
      <c r="K118" s="136" t="n"/>
      <c r="L118" s="137">
        <f>IFERROR(MAX(1,MIN(10,5+IF(I118&gt;=2,2,IF(I118&gt;=1.5,1,IF(I118&lt;1,-1,0)))+IF(J118="Yes",1,-1)+IF(OR(E118="Trending",E118="Volatile"),1,0))),"")</f>
        <v/>
      </c>
      <c r="M118" s="136" t="n"/>
    </row>
    <row r="119" ht="18" customHeight="1" s="98">
      <c r="A119" s="134" t="n"/>
      <c r="B119" s="134" t="n"/>
      <c r="C119" s="134" t="n"/>
      <c r="D119" s="134" t="n"/>
      <c r="E119" s="134" t="n"/>
      <c r="F119" s="134" t="n"/>
      <c r="G119" s="134" t="n"/>
      <c r="H119" s="134" t="n"/>
      <c r="I119" s="134" t="n"/>
      <c r="J119" s="134" t="n"/>
      <c r="K119" s="134" t="n"/>
      <c r="L119" s="135">
        <f>IFERROR(MAX(1,MIN(10,5+IF(I119&gt;=2,2,IF(I119&gt;=1.5,1,IF(I119&lt;1,-1,0)))+IF(J119="Yes",1,-1)+IF(OR(E119="Trending",E119="Volatile"),1,0))),"")</f>
        <v/>
      </c>
      <c r="M119" s="134" t="n"/>
    </row>
    <row r="120" ht="18" customHeight="1" s="98">
      <c r="A120" s="136" t="n"/>
      <c r="B120" s="136" t="n"/>
      <c r="C120" s="136" t="n"/>
      <c r="D120" s="136" t="n"/>
      <c r="E120" s="136" t="n"/>
      <c r="F120" s="136" t="n"/>
      <c r="G120" s="136" t="n"/>
      <c r="H120" s="136" t="n"/>
      <c r="I120" s="136" t="n"/>
      <c r="J120" s="136" t="n"/>
      <c r="K120" s="136" t="n"/>
      <c r="L120" s="137">
        <f>IFERROR(MAX(1,MIN(10,5+IF(I120&gt;=2,2,IF(I120&gt;=1.5,1,IF(I120&lt;1,-1,0)))+IF(J120="Yes",1,-1)+IF(OR(E120="Trending",E120="Volatile"),1,0))),"")</f>
        <v/>
      </c>
      <c r="M120" s="136" t="n"/>
    </row>
    <row r="121" ht="18" customHeight="1" s="98">
      <c r="A121" s="134" t="n"/>
      <c r="B121" s="134" t="n"/>
      <c r="C121" s="134" t="n"/>
      <c r="D121" s="134" t="n"/>
      <c r="E121" s="134" t="n"/>
      <c r="F121" s="134" t="n"/>
      <c r="G121" s="134" t="n"/>
      <c r="H121" s="134" t="n"/>
      <c r="I121" s="134" t="n"/>
      <c r="J121" s="134" t="n"/>
      <c r="K121" s="134" t="n"/>
      <c r="L121" s="135">
        <f>IFERROR(MAX(1,MIN(10,5+IF(I121&gt;=2,2,IF(I121&gt;=1.5,1,IF(I121&lt;1,-1,0)))+IF(J121="Yes",1,-1)+IF(OR(E121="Trending",E121="Volatile"),1,0))),"")</f>
        <v/>
      </c>
      <c r="M121" s="134" t="n"/>
    </row>
    <row r="122" ht="18" customHeight="1" s="98">
      <c r="A122" s="136" t="n"/>
      <c r="B122" s="136" t="n"/>
      <c r="C122" s="136" t="n"/>
      <c r="D122" s="136" t="n"/>
      <c r="E122" s="136" t="n"/>
      <c r="F122" s="136" t="n"/>
      <c r="G122" s="136" t="n"/>
      <c r="H122" s="136" t="n"/>
      <c r="I122" s="136" t="n"/>
      <c r="J122" s="136" t="n"/>
      <c r="K122" s="136" t="n"/>
      <c r="L122" s="137">
        <f>IFERROR(MAX(1,MIN(10,5+IF(I122&gt;=2,2,IF(I122&gt;=1.5,1,IF(I122&lt;1,-1,0)))+IF(J122="Yes",1,-1)+IF(OR(E122="Trending",E122="Volatile"),1,0))),"")</f>
        <v/>
      </c>
      <c r="M122" s="136" t="n"/>
    </row>
    <row r="123" ht="18" customHeight="1" s="98">
      <c r="A123" s="134" t="n"/>
      <c r="B123" s="134" t="n"/>
      <c r="C123" s="134" t="n"/>
      <c r="D123" s="134" t="n"/>
      <c r="E123" s="134" t="n"/>
      <c r="F123" s="134" t="n"/>
      <c r="G123" s="134" t="n"/>
      <c r="H123" s="134" t="n"/>
      <c r="I123" s="134" t="n"/>
      <c r="J123" s="134" t="n"/>
      <c r="K123" s="134" t="n"/>
      <c r="L123" s="135">
        <f>IFERROR(MAX(1,MIN(10,5+IF(I123&gt;=2,2,IF(I123&gt;=1.5,1,IF(I123&lt;1,-1,0)))+IF(J123="Yes",1,-1)+IF(OR(E123="Trending",E123="Volatile"),1,0))),"")</f>
        <v/>
      </c>
      <c r="M123" s="134" t="n"/>
    </row>
    <row r="124" ht="18" customHeight="1" s="98">
      <c r="A124" s="136" t="n"/>
      <c r="B124" s="136" t="n"/>
      <c r="C124" s="136" t="n"/>
      <c r="D124" s="136" t="n"/>
      <c r="E124" s="136" t="n"/>
      <c r="F124" s="136" t="n"/>
      <c r="G124" s="136" t="n"/>
      <c r="H124" s="136" t="n"/>
      <c r="I124" s="136" t="n"/>
      <c r="J124" s="136" t="n"/>
      <c r="K124" s="136" t="n"/>
      <c r="L124" s="137">
        <f>IFERROR(MAX(1,MIN(10,5+IF(I124&gt;=2,2,IF(I124&gt;=1.5,1,IF(I124&lt;1,-1,0)))+IF(J124="Yes",1,-1)+IF(OR(E124="Trending",E124="Volatile"),1,0))),"")</f>
        <v/>
      </c>
      <c r="M124" s="136" t="n"/>
    </row>
    <row r="125" ht="18" customHeight="1" s="98">
      <c r="A125" s="134" t="n"/>
      <c r="B125" s="134" t="n"/>
      <c r="C125" s="134" t="n"/>
      <c r="D125" s="134" t="n"/>
      <c r="E125" s="134" t="n"/>
      <c r="F125" s="134" t="n"/>
      <c r="G125" s="134" t="n"/>
      <c r="H125" s="134" t="n"/>
      <c r="I125" s="134" t="n"/>
      <c r="J125" s="134" t="n"/>
      <c r="K125" s="134" t="n"/>
      <c r="L125" s="135">
        <f>IFERROR(MAX(1,MIN(10,5+IF(I125&gt;=2,2,IF(I125&gt;=1.5,1,IF(I125&lt;1,-1,0)))+IF(J125="Yes",1,-1)+IF(OR(E125="Trending",E125="Volatile"),1,0))),"")</f>
        <v/>
      </c>
      <c r="M125" s="134" t="n"/>
    </row>
    <row r="126" ht="18" customHeight="1" s="98">
      <c r="A126" s="136" t="n"/>
      <c r="B126" s="136" t="n"/>
      <c r="C126" s="136" t="n"/>
      <c r="D126" s="136" t="n"/>
      <c r="E126" s="136" t="n"/>
      <c r="F126" s="136" t="n"/>
      <c r="G126" s="136" t="n"/>
      <c r="H126" s="136" t="n"/>
      <c r="I126" s="136" t="n"/>
      <c r="J126" s="136" t="n"/>
      <c r="K126" s="136" t="n"/>
      <c r="L126" s="137">
        <f>IFERROR(MAX(1,MIN(10,5+IF(I126&gt;=2,2,IF(I126&gt;=1.5,1,IF(I126&lt;1,-1,0)))+IF(J126="Yes",1,-1)+IF(OR(E126="Trending",E126="Volatile"),1,0))),"")</f>
        <v/>
      </c>
      <c r="M126" s="136" t="n"/>
    </row>
    <row r="127" ht="18" customHeight="1" s="98">
      <c r="A127" s="134" t="n"/>
      <c r="B127" s="134" t="n"/>
      <c r="C127" s="134" t="n"/>
      <c r="D127" s="134" t="n"/>
      <c r="E127" s="134" t="n"/>
      <c r="F127" s="134" t="n"/>
      <c r="G127" s="134" t="n"/>
      <c r="H127" s="134" t="n"/>
      <c r="I127" s="134" t="n"/>
      <c r="J127" s="134" t="n"/>
      <c r="K127" s="134" t="n"/>
      <c r="L127" s="135">
        <f>IFERROR(MAX(1,MIN(10,5+IF(I127&gt;=2,2,IF(I127&gt;=1.5,1,IF(I127&lt;1,-1,0)))+IF(J127="Yes",1,-1)+IF(OR(E127="Trending",E127="Volatile"),1,0))),"")</f>
        <v/>
      </c>
      <c r="M127" s="134" t="n"/>
    </row>
    <row r="128" ht="18" customHeight="1" s="98">
      <c r="A128" s="136" t="n"/>
      <c r="B128" s="136" t="n"/>
      <c r="C128" s="136" t="n"/>
      <c r="D128" s="136" t="n"/>
      <c r="E128" s="136" t="n"/>
      <c r="F128" s="136" t="n"/>
      <c r="G128" s="136" t="n"/>
      <c r="H128" s="136" t="n"/>
      <c r="I128" s="136" t="n"/>
      <c r="J128" s="136" t="n"/>
      <c r="K128" s="136" t="n"/>
      <c r="L128" s="137">
        <f>IFERROR(MAX(1,MIN(10,5+IF(I128&gt;=2,2,IF(I128&gt;=1.5,1,IF(I128&lt;1,-1,0)))+IF(J128="Yes",1,-1)+IF(OR(E128="Trending",E128="Volatile"),1,0))),"")</f>
        <v/>
      </c>
      <c r="M128" s="136" t="n"/>
    </row>
    <row r="129" ht="18" customHeight="1" s="98">
      <c r="A129" s="134" t="n"/>
      <c r="B129" s="134" t="n"/>
      <c r="C129" s="134" t="n"/>
      <c r="D129" s="134" t="n"/>
      <c r="E129" s="134" t="n"/>
      <c r="F129" s="134" t="n"/>
      <c r="G129" s="134" t="n"/>
      <c r="H129" s="134" t="n"/>
      <c r="I129" s="134" t="n"/>
      <c r="J129" s="134" t="n"/>
      <c r="K129" s="134" t="n"/>
      <c r="L129" s="135">
        <f>IFERROR(MAX(1,MIN(10,5+IF(I129&gt;=2,2,IF(I129&gt;=1.5,1,IF(I129&lt;1,-1,0)))+IF(J129="Yes",1,-1)+IF(OR(E129="Trending",E129="Volatile"),1,0))),"")</f>
        <v/>
      </c>
      <c r="M129" s="134" t="n"/>
    </row>
    <row r="130" ht="18" customHeight="1" s="98">
      <c r="A130" s="136" t="n"/>
      <c r="B130" s="136" t="n"/>
      <c r="C130" s="136" t="n"/>
      <c r="D130" s="136" t="n"/>
      <c r="E130" s="136" t="n"/>
      <c r="F130" s="136" t="n"/>
      <c r="G130" s="136" t="n"/>
      <c r="H130" s="136" t="n"/>
      <c r="I130" s="136" t="n"/>
      <c r="J130" s="136" t="n"/>
      <c r="K130" s="136" t="n"/>
      <c r="L130" s="137">
        <f>IFERROR(MAX(1,MIN(10,5+IF(I130&gt;=2,2,IF(I130&gt;=1.5,1,IF(I130&lt;1,-1,0)))+IF(J130="Yes",1,-1)+IF(OR(E130="Trending",E130="Volatile"),1,0))),"")</f>
        <v/>
      </c>
      <c r="M130" s="136" t="n"/>
    </row>
    <row r="131" ht="18" customHeight="1" s="98">
      <c r="A131" s="134" t="n"/>
      <c r="B131" s="134" t="n"/>
      <c r="C131" s="134" t="n"/>
      <c r="D131" s="134" t="n"/>
      <c r="E131" s="134" t="n"/>
      <c r="F131" s="134" t="n"/>
      <c r="G131" s="134" t="n"/>
      <c r="H131" s="134" t="n"/>
      <c r="I131" s="134" t="n"/>
      <c r="J131" s="134" t="n"/>
      <c r="K131" s="134" t="n"/>
      <c r="L131" s="135">
        <f>IFERROR(MAX(1,MIN(10,5+IF(I131&gt;=2,2,IF(I131&gt;=1.5,1,IF(I131&lt;1,-1,0)))+IF(J131="Yes",1,-1)+IF(OR(E131="Trending",E131="Volatile"),1,0))),"")</f>
        <v/>
      </c>
      <c r="M131" s="134" t="n"/>
    </row>
    <row r="132" ht="18" customHeight="1" s="98">
      <c r="A132" s="136" t="n"/>
      <c r="B132" s="136" t="n"/>
      <c r="C132" s="136" t="n"/>
      <c r="D132" s="136" t="n"/>
      <c r="E132" s="136" t="n"/>
      <c r="F132" s="136" t="n"/>
      <c r="G132" s="136" t="n"/>
      <c r="H132" s="136" t="n"/>
      <c r="I132" s="136" t="n"/>
      <c r="J132" s="136" t="n"/>
      <c r="K132" s="136" t="n"/>
      <c r="L132" s="137">
        <f>IFERROR(MAX(1,MIN(10,5+IF(I132&gt;=2,2,IF(I132&gt;=1.5,1,IF(I132&lt;1,-1,0)))+IF(J132="Yes",1,-1)+IF(OR(E132="Trending",E132="Volatile"),1,0))),"")</f>
        <v/>
      </c>
      <c r="M132" s="136" t="n"/>
    </row>
    <row r="133" ht="18" customHeight="1" s="98">
      <c r="A133" s="134" t="n"/>
      <c r="B133" s="134" t="n"/>
      <c r="C133" s="134" t="n"/>
      <c r="D133" s="134" t="n"/>
      <c r="E133" s="134" t="n"/>
      <c r="F133" s="134" t="n"/>
      <c r="G133" s="134" t="n"/>
      <c r="H133" s="134" t="n"/>
      <c r="I133" s="134" t="n"/>
      <c r="J133" s="134" t="n"/>
      <c r="K133" s="134" t="n"/>
      <c r="L133" s="135">
        <f>IFERROR(MAX(1,MIN(10,5+IF(I133&gt;=2,2,IF(I133&gt;=1.5,1,IF(I133&lt;1,-1,0)))+IF(J133="Yes",1,-1)+IF(OR(E133="Trending",E133="Volatile"),1,0))),"")</f>
        <v/>
      </c>
      <c r="M133" s="134" t="n"/>
    </row>
    <row r="134" ht="18" customHeight="1" s="98">
      <c r="A134" s="136" t="n"/>
      <c r="B134" s="136" t="n"/>
      <c r="C134" s="136" t="n"/>
      <c r="D134" s="136" t="n"/>
      <c r="E134" s="136" t="n"/>
      <c r="F134" s="136" t="n"/>
      <c r="G134" s="136" t="n"/>
      <c r="H134" s="136" t="n"/>
      <c r="I134" s="136" t="n"/>
      <c r="J134" s="136" t="n"/>
      <c r="K134" s="136" t="n"/>
      <c r="L134" s="137">
        <f>IFERROR(MAX(1,MIN(10,5+IF(I134&gt;=2,2,IF(I134&gt;=1.5,1,IF(I134&lt;1,-1,0)))+IF(J134="Yes",1,-1)+IF(OR(E134="Trending",E134="Volatile"),1,0))),"")</f>
        <v/>
      </c>
      <c r="M134" s="136" t="n"/>
    </row>
    <row r="135" ht="18" customHeight="1" s="98">
      <c r="A135" s="134" t="n"/>
      <c r="B135" s="134" t="n"/>
      <c r="C135" s="134" t="n"/>
      <c r="D135" s="134" t="n"/>
      <c r="E135" s="134" t="n"/>
      <c r="F135" s="134" t="n"/>
      <c r="G135" s="134" t="n"/>
      <c r="H135" s="134" t="n"/>
      <c r="I135" s="134" t="n"/>
      <c r="J135" s="134" t="n"/>
      <c r="K135" s="134" t="n"/>
      <c r="L135" s="135">
        <f>IFERROR(MAX(1,MIN(10,5+IF(I135&gt;=2,2,IF(I135&gt;=1.5,1,IF(I135&lt;1,-1,0)))+IF(J135="Yes",1,-1)+IF(OR(E135="Trending",E135="Volatile"),1,0))),"")</f>
        <v/>
      </c>
      <c r="M135" s="134" t="n"/>
    </row>
    <row r="136" ht="18" customHeight="1" s="98">
      <c r="A136" s="136" t="n"/>
      <c r="B136" s="136" t="n"/>
      <c r="C136" s="136" t="n"/>
      <c r="D136" s="136" t="n"/>
      <c r="E136" s="136" t="n"/>
      <c r="F136" s="136" t="n"/>
      <c r="G136" s="136" t="n"/>
      <c r="H136" s="136" t="n"/>
      <c r="I136" s="136" t="n"/>
      <c r="J136" s="136" t="n"/>
      <c r="K136" s="136" t="n"/>
      <c r="L136" s="137">
        <f>IFERROR(MAX(1,MIN(10,5+IF(I136&gt;=2,2,IF(I136&gt;=1.5,1,IF(I136&lt;1,-1,0)))+IF(J136="Yes",1,-1)+IF(OR(E136="Trending",E136="Volatile"),1,0))),"")</f>
        <v/>
      </c>
      <c r="M136" s="136" t="n"/>
    </row>
    <row r="137" ht="18" customHeight="1" s="98">
      <c r="A137" s="134" t="n"/>
      <c r="B137" s="134" t="n"/>
      <c r="C137" s="134" t="n"/>
      <c r="D137" s="134" t="n"/>
      <c r="E137" s="134" t="n"/>
      <c r="F137" s="134" t="n"/>
      <c r="G137" s="134" t="n"/>
      <c r="H137" s="134" t="n"/>
      <c r="I137" s="134" t="n"/>
      <c r="J137" s="134" t="n"/>
      <c r="K137" s="134" t="n"/>
      <c r="L137" s="135">
        <f>IFERROR(MAX(1,MIN(10,5+IF(I137&gt;=2,2,IF(I137&gt;=1.5,1,IF(I137&lt;1,-1,0)))+IF(J137="Yes",1,-1)+IF(OR(E137="Trending",E137="Volatile"),1,0))),"")</f>
        <v/>
      </c>
      <c r="M137" s="134" t="n"/>
    </row>
    <row r="138" ht="18" customHeight="1" s="98">
      <c r="A138" s="136" t="n"/>
      <c r="B138" s="136" t="n"/>
      <c r="C138" s="136" t="n"/>
      <c r="D138" s="136" t="n"/>
      <c r="E138" s="136" t="n"/>
      <c r="F138" s="136" t="n"/>
      <c r="G138" s="136" t="n"/>
      <c r="H138" s="136" t="n"/>
      <c r="I138" s="136" t="n"/>
      <c r="J138" s="136" t="n"/>
      <c r="K138" s="136" t="n"/>
      <c r="L138" s="137">
        <f>IFERROR(MAX(1,MIN(10,5+IF(I138&gt;=2,2,IF(I138&gt;=1.5,1,IF(I138&lt;1,-1,0)))+IF(J138="Yes",1,-1)+IF(OR(E138="Trending",E138="Volatile"),1,0))),"")</f>
        <v/>
      </c>
      <c r="M138" s="136" t="n"/>
    </row>
    <row r="139" ht="18" customHeight="1" s="98">
      <c r="A139" s="134" t="n"/>
      <c r="B139" s="134" t="n"/>
      <c r="C139" s="134" t="n"/>
      <c r="D139" s="134" t="n"/>
      <c r="E139" s="134" t="n"/>
      <c r="F139" s="134" t="n"/>
      <c r="G139" s="134" t="n"/>
      <c r="H139" s="134" t="n"/>
      <c r="I139" s="134" t="n"/>
      <c r="J139" s="134" t="n"/>
      <c r="K139" s="134" t="n"/>
      <c r="L139" s="135">
        <f>IFERROR(MAX(1,MIN(10,5+IF(I139&gt;=2,2,IF(I139&gt;=1.5,1,IF(I139&lt;1,-1,0)))+IF(J139="Yes",1,-1)+IF(OR(E139="Trending",E139="Volatile"),1,0))),"")</f>
        <v/>
      </c>
      <c r="M139" s="134" t="n"/>
    </row>
    <row r="140" ht="18" customHeight="1" s="98">
      <c r="A140" s="136" t="n"/>
      <c r="B140" s="136" t="n"/>
      <c r="C140" s="136" t="n"/>
      <c r="D140" s="136" t="n"/>
      <c r="E140" s="136" t="n"/>
      <c r="F140" s="136" t="n"/>
      <c r="G140" s="136" t="n"/>
      <c r="H140" s="136" t="n"/>
      <c r="I140" s="136" t="n"/>
      <c r="J140" s="136" t="n"/>
      <c r="K140" s="136" t="n"/>
      <c r="L140" s="137">
        <f>IFERROR(MAX(1,MIN(10,5+IF(I140&gt;=2,2,IF(I140&gt;=1.5,1,IF(I140&lt;1,-1,0)))+IF(J140="Yes",1,-1)+IF(OR(E140="Trending",E140="Volatile"),1,0))),"")</f>
        <v/>
      </c>
      <c r="M140" s="136" t="n"/>
    </row>
    <row r="141" ht="18" customHeight="1" s="98">
      <c r="A141" s="134" t="n"/>
      <c r="B141" s="134" t="n"/>
      <c r="C141" s="134" t="n"/>
      <c r="D141" s="134" t="n"/>
      <c r="E141" s="134" t="n"/>
      <c r="F141" s="134" t="n"/>
      <c r="G141" s="134" t="n"/>
      <c r="H141" s="134" t="n"/>
      <c r="I141" s="134" t="n"/>
      <c r="J141" s="134" t="n"/>
      <c r="K141" s="134" t="n"/>
      <c r="L141" s="135">
        <f>IFERROR(MAX(1,MIN(10,5+IF(I141&gt;=2,2,IF(I141&gt;=1.5,1,IF(I141&lt;1,-1,0)))+IF(J141="Yes",1,-1)+IF(OR(E141="Trending",E141="Volatile"),1,0))),"")</f>
        <v/>
      </c>
      <c r="M141" s="134" t="n"/>
    </row>
    <row r="142" ht="18" customHeight="1" s="98">
      <c r="A142" s="136" t="n"/>
      <c r="B142" s="136" t="n"/>
      <c r="C142" s="136" t="n"/>
      <c r="D142" s="136" t="n"/>
      <c r="E142" s="136" t="n"/>
      <c r="F142" s="136" t="n"/>
      <c r="G142" s="136" t="n"/>
      <c r="H142" s="136" t="n"/>
      <c r="I142" s="136" t="n"/>
      <c r="J142" s="136" t="n"/>
      <c r="K142" s="136" t="n"/>
      <c r="L142" s="137">
        <f>IFERROR(MAX(1,MIN(10,5+IF(I142&gt;=2,2,IF(I142&gt;=1.5,1,IF(I142&lt;1,-1,0)))+IF(J142="Yes",1,-1)+IF(OR(E142="Trending",E142="Volatile"),1,0))),"")</f>
        <v/>
      </c>
      <c r="M142" s="136" t="n"/>
    </row>
    <row r="143" ht="18" customHeight="1" s="98">
      <c r="A143" s="134" t="n"/>
      <c r="B143" s="134" t="n"/>
      <c r="C143" s="134" t="n"/>
      <c r="D143" s="134" t="n"/>
      <c r="E143" s="134" t="n"/>
      <c r="F143" s="134" t="n"/>
      <c r="G143" s="134" t="n"/>
      <c r="H143" s="134" t="n"/>
      <c r="I143" s="134" t="n"/>
      <c r="J143" s="134" t="n"/>
      <c r="K143" s="134" t="n"/>
      <c r="L143" s="135">
        <f>IFERROR(MAX(1,MIN(10,5+IF(I143&gt;=2,2,IF(I143&gt;=1.5,1,IF(I143&lt;1,-1,0)))+IF(J143="Yes",1,-1)+IF(OR(E143="Trending",E143="Volatile"),1,0))),"")</f>
        <v/>
      </c>
      <c r="M143" s="134" t="n"/>
    </row>
    <row r="144" ht="18" customHeight="1" s="98">
      <c r="A144" s="136" t="n"/>
      <c r="B144" s="136" t="n"/>
      <c r="C144" s="136" t="n"/>
      <c r="D144" s="136" t="n"/>
      <c r="E144" s="136" t="n"/>
      <c r="F144" s="136" t="n"/>
      <c r="G144" s="136" t="n"/>
      <c r="H144" s="136" t="n"/>
      <c r="I144" s="136" t="n"/>
      <c r="J144" s="136" t="n"/>
      <c r="K144" s="136" t="n"/>
      <c r="L144" s="137">
        <f>IFERROR(MAX(1,MIN(10,5+IF(I144&gt;=2,2,IF(I144&gt;=1.5,1,IF(I144&lt;1,-1,0)))+IF(J144="Yes",1,-1)+IF(OR(E144="Trending",E144="Volatile"),1,0))),"")</f>
        <v/>
      </c>
      <c r="M144" s="136" t="n"/>
    </row>
    <row r="145" ht="18" customHeight="1" s="98">
      <c r="A145" s="134" t="n"/>
      <c r="B145" s="134" t="n"/>
      <c r="C145" s="134" t="n"/>
      <c r="D145" s="134" t="n"/>
      <c r="E145" s="134" t="n"/>
      <c r="F145" s="134" t="n"/>
      <c r="G145" s="134" t="n"/>
      <c r="H145" s="134" t="n"/>
      <c r="I145" s="134" t="n"/>
      <c r="J145" s="134" t="n"/>
      <c r="K145" s="134" t="n"/>
      <c r="L145" s="135">
        <f>IFERROR(MAX(1,MIN(10,5+IF(I145&gt;=2,2,IF(I145&gt;=1.5,1,IF(I145&lt;1,-1,0)))+IF(J145="Yes",1,-1)+IF(OR(E145="Trending",E145="Volatile"),1,0))),"")</f>
        <v/>
      </c>
      <c r="M145" s="134" t="n"/>
    </row>
    <row r="146" ht="18" customHeight="1" s="98">
      <c r="A146" s="136" t="n"/>
      <c r="B146" s="136" t="n"/>
      <c r="C146" s="136" t="n"/>
      <c r="D146" s="136" t="n"/>
      <c r="E146" s="136" t="n"/>
      <c r="F146" s="136" t="n"/>
      <c r="G146" s="136" t="n"/>
      <c r="H146" s="136" t="n"/>
      <c r="I146" s="136" t="n"/>
      <c r="J146" s="136" t="n"/>
      <c r="K146" s="136" t="n"/>
      <c r="L146" s="137">
        <f>IFERROR(MAX(1,MIN(10,5+IF(I146&gt;=2,2,IF(I146&gt;=1.5,1,IF(I146&lt;1,-1,0)))+IF(J146="Yes",1,-1)+IF(OR(E146="Trending",E146="Volatile"),1,0))),"")</f>
        <v/>
      </c>
      <c r="M146" s="136" t="n"/>
    </row>
    <row r="147" ht="18" customHeight="1" s="98">
      <c r="A147" s="134" t="n"/>
      <c r="B147" s="134" t="n"/>
      <c r="C147" s="134" t="n"/>
      <c r="D147" s="134" t="n"/>
      <c r="E147" s="134" t="n"/>
      <c r="F147" s="134" t="n"/>
      <c r="G147" s="134" t="n"/>
      <c r="H147" s="134" t="n"/>
      <c r="I147" s="134" t="n"/>
      <c r="J147" s="134" t="n"/>
      <c r="K147" s="134" t="n"/>
      <c r="L147" s="135">
        <f>IFERROR(MAX(1,MIN(10,5+IF(I147&gt;=2,2,IF(I147&gt;=1.5,1,IF(I147&lt;1,-1,0)))+IF(J147="Yes",1,-1)+IF(OR(E147="Trending",E147="Volatile"),1,0))),"")</f>
        <v/>
      </c>
      <c r="M147" s="134" t="n"/>
    </row>
    <row r="148" ht="18" customHeight="1" s="98">
      <c r="A148" s="136" t="n"/>
      <c r="B148" s="136" t="n"/>
      <c r="C148" s="136" t="n"/>
      <c r="D148" s="136" t="n"/>
      <c r="E148" s="136" t="n"/>
      <c r="F148" s="136" t="n"/>
      <c r="G148" s="136" t="n"/>
      <c r="H148" s="136" t="n"/>
      <c r="I148" s="136" t="n"/>
      <c r="J148" s="136" t="n"/>
      <c r="K148" s="136" t="n"/>
      <c r="L148" s="137">
        <f>IFERROR(MAX(1,MIN(10,5+IF(I148&gt;=2,2,IF(I148&gt;=1.5,1,IF(I148&lt;1,-1,0)))+IF(J148="Yes",1,-1)+IF(OR(E148="Trending",E148="Volatile"),1,0))),"")</f>
        <v/>
      </c>
      <c r="M148" s="136" t="n"/>
    </row>
    <row r="149" ht="18" customHeight="1" s="98">
      <c r="A149" s="134" t="n"/>
      <c r="B149" s="134" t="n"/>
      <c r="C149" s="134" t="n"/>
      <c r="D149" s="134" t="n"/>
      <c r="E149" s="134" t="n"/>
      <c r="F149" s="134" t="n"/>
      <c r="G149" s="134" t="n"/>
      <c r="H149" s="134" t="n"/>
      <c r="I149" s="134" t="n"/>
      <c r="J149" s="134" t="n"/>
      <c r="K149" s="134" t="n"/>
      <c r="L149" s="135">
        <f>IFERROR(MAX(1,MIN(10,5+IF(I149&gt;=2,2,IF(I149&gt;=1.5,1,IF(I149&lt;1,-1,0)))+IF(J149="Yes",1,-1)+IF(OR(E149="Trending",E149="Volatile"),1,0))),"")</f>
        <v/>
      </c>
      <c r="M149" s="134" t="n"/>
    </row>
    <row r="150" ht="18" customHeight="1" s="98">
      <c r="A150" s="136" t="n"/>
      <c r="B150" s="136" t="n"/>
      <c r="C150" s="136" t="n"/>
      <c r="D150" s="136" t="n"/>
      <c r="E150" s="136" t="n"/>
      <c r="F150" s="136" t="n"/>
      <c r="G150" s="136" t="n"/>
      <c r="H150" s="136" t="n"/>
      <c r="I150" s="136" t="n"/>
      <c r="J150" s="136" t="n"/>
      <c r="K150" s="136" t="n"/>
      <c r="L150" s="137">
        <f>IFERROR(MAX(1,MIN(10,5+IF(I150&gt;=2,2,IF(I150&gt;=1.5,1,IF(I150&lt;1,-1,0)))+IF(J150="Yes",1,-1)+IF(OR(E150="Trending",E150="Volatile"),1,0))),"")</f>
        <v/>
      </c>
      <c r="M150" s="136" t="n"/>
    </row>
    <row r="151" ht="18" customHeight="1" s="98">
      <c r="A151" s="134" t="n"/>
      <c r="B151" s="134" t="n"/>
      <c r="C151" s="134" t="n"/>
      <c r="D151" s="134" t="n"/>
      <c r="E151" s="134" t="n"/>
      <c r="F151" s="134" t="n"/>
      <c r="G151" s="134" t="n"/>
      <c r="H151" s="134" t="n"/>
      <c r="I151" s="134" t="n"/>
      <c r="J151" s="134" t="n"/>
      <c r="K151" s="134" t="n"/>
      <c r="L151" s="135">
        <f>IFERROR(MAX(1,MIN(10,5+IF(I151&gt;=2,2,IF(I151&gt;=1.5,1,IF(I151&lt;1,-1,0)))+IF(J151="Yes",1,-1)+IF(OR(E151="Trending",E151="Volatile"),1,0))),"")</f>
        <v/>
      </c>
      <c r="M151" s="134" t="n"/>
    </row>
    <row r="152" ht="18" customHeight="1" s="98">
      <c r="A152" s="136" t="n"/>
      <c r="B152" s="136" t="n"/>
      <c r="C152" s="136" t="n"/>
      <c r="D152" s="136" t="n"/>
      <c r="E152" s="136" t="n"/>
      <c r="F152" s="136" t="n"/>
      <c r="G152" s="136" t="n"/>
      <c r="H152" s="136" t="n"/>
      <c r="I152" s="136" t="n"/>
      <c r="J152" s="136" t="n"/>
      <c r="K152" s="136" t="n"/>
      <c r="L152" s="137">
        <f>IFERROR(MAX(1,MIN(10,5+IF(I152&gt;=2,2,IF(I152&gt;=1.5,1,IF(I152&lt;1,-1,0)))+IF(J152="Yes",1,-1)+IF(OR(E152="Trending",E152="Volatile"),1,0))),"")</f>
        <v/>
      </c>
      <c r="M152" s="136" t="n"/>
    </row>
    <row r="153" ht="18" customHeight="1" s="98">
      <c r="A153" s="134" t="n"/>
      <c r="B153" s="134" t="n"/>
      <c r="C153" s="134" t="n"/>
      <c r="D153" s="134" t="n"/>
      <c r="E153" s="134" t="n"/>
      <c r="F153" s="134" t="n"/>
      <c r="G153" s="134" t="n"/>
      <c r="H153" s="134" t="n"/>
      <c r="I153" s="134" t="n"/>
      <c r="J153" s="134" t="n"/>
      <c r="K153" s="134" t="n"/>
      <c r="L153" s="135">
        <f>IFERROR(MAX(1,MIN(10,5+IF(I153&gt;=2,2,IF(I153&gt;=1.5,1,IF(I153&lt;1,-1,0)))+IF(J153="Yes",1,-1)+IF(OR(E153="Trending",E153="Volatile"),1,0))),"")</f>
        <v/>
      </c>
      <c r="M153" s="134" t="n"/>
    </row>
    <row r="154" ht="18" customHeight="1" s="98">
      <c r="A154" s="136" t="n"/>
      <c r="B154" s="136" t="n"/>
      <c r="C154" s="136" t="n"/>
      <c r="D154" s="136" t="n"/>
      <c r="E154" s="136" t="n"/>
      <c r="F154" s="136" t="n"/>
      <c r="G154" s="136" t="n"/>
      <c r="H154" s="136" t="n"/>
      <c r="I154" s="136" t="n"/>
      <c r="J154" s="136" t="n"/>
      <c r="K154" s="136" t="n"/>
      <c r="L154" s="137">
        <f>IFERROR(MAX(1,MIN(10,5+IF(I154&gt;=2,2,IF(I154&gt;=1.5,1,IF(I154&lt;1,-1,0)))+IF(J154="Yes",1,-1)+IF(OR(E154="Trending",E154="Volatile"),1,0))),"")</f>
        <v/>
      </c>
      <c r="M154" s="136" t="n"/>
    </row>
    <row r="155" ht="18" customHeight="1" s="98">
      <c r="A155" s="134" t="n"/>
      <c r="B155" s="134" t="n"/>
      <c r="C155" s="134" t="n"/>
      <c r="D155" s="134" t="n"/>
      <c r="E155" s="134" t="n"/>
      <c r="F155" s="134" t="n"/>
      <c r="G155" s="134" t="n"/>
      <c r="H155" s="134" t="n"/>
      <c r="I155" s="134" t="n"/>
      <c r="J155" s="134" t="n"/>
      <c r="K155" s="134" t="n"/>
      <c r="L155" s="135">
        <f>IFERROR(MAX(1,MIN(10,5+IF(I155&gt;=2,2,IF(I155&gt;=1.5,1,IF(I155&lt;1,-1,0)))+IF(J155="Yes",1,-1)+IF(OR(E155="Trending",E155="Volatile"),1,0))),"")</f>
        <v/>
      </c>
      <c r="M155" s="134" t="n"/>
    </row>
    <row r="156" ht="18" customHeight="1" s="98">
      <c r="A156" s="136" t="n"/>
      <c r="B156" s="136" t="n"/>
      <c r="C156" s="136" t="n"/>
      <c r="D156" s="136" t="n"/>
      <c r="E156" s="136" t="n"/>
      <c r="F156" s="136" t="n"/>
      <c r="G156" s="136" t="n"/>
      <c r="H156" s="136" t="n"/>
      <c r="I156" s="136" t="n"/>
      <c r="J156" s="136" t="n"/>
      <c r="K156" s="136" t="n"/>
      <c r="L156" s="137">
        <f>IFERROR(MAX(1,MIN(10,5+IF(I156&gt;=2,2,IF(I156&gt;=1.5,1,IF(I156&lt;1,-1,0)))+IF(J156="Yes",1,-1)+IF(OR(E156="Trending",E156="Volatile"),1,0))),"")</f>
        <v/>
      </c>
      <c r="M156" s="136" t="n"/>
    </row>
    <row r="157" ht="18" customHeight="1" s="98">
      <c r="A157" s="134" t="n"/>
      <c r="B157" s="134" t="n"/>
      <c r="C157" s="134" t="n"/>
      <c r="D157" s="134" t="n"/>
      <c r="E157" s="134" t="n"/>
      <c r="F157" s="134" t="n"/>
      <c r="G157" s="134" t="n"/>
      <c r="H157" s="134" t="n"/>
      <c r="I157" s="134" t="n"/>
      <c r="J157" s="134" t="n"/>
      <c r="K157" s="134" t="n"/>
      <c r="L157" s="135">
        <f>IFERROR(MAX(1,MIN(10,5+IF(I157&gt;=2,2,IF(I157&gt;=1.5,1,IF(I157&lt;1,-1,0)))+IF(J157="Yes",1,-1)+IF(OR(E157="Trending",E157="Volatile"),1,0))),"")</f>
        <v/>
      </c>
      <c r="M157" s="134" t="n"/>
    </row>
    <row r="158" ht="18" customHeight="1" s="98">
      <c r="A158" s="136" t="n"/>
      <c r="B158" s="136" t="n"/>
      <c r="C158" s="136" t="n"/>
      <c r="D158" s="136" t="n"/>
      <c r="E158" s="136" t="n"/>
      <c r="F158" s="136" t="n"/>
      <c r="G158" s="136" t="n"/>
      <c r="H158" s="136" t="n"/>
      <c r="I158" s="136" t="n"/>
      <c r="J158" s="136" t="n"/>
      <c r="K158" s="136" t="n"/>
      <c r="L158" s="137">
        <f>IFERROR(MAX(1,MIN(10,5+IF(I158&gt;=2,2,IF(I158&gt;=1.5,1,IF(I158&lt;1,-1,0)))+IF(J158="Yes",1,-1)+IF(OR(E158="Trending",E158="Volatile"),1,0))),"")</f>
        <v/>
      </c>
      <c r="M158" s="136" t="n"/>
    </row>
    <row r="159" ht="18" customHeight="1" s="98">
      <c r="A159" s="134" t="n"/>
      <c r="B159" s="134" t="n"/>
      <c r="C159" s="134" t="n"/>
      <c r="D159" s="134" t="n"/>
      <c r="E159" s="134" t="n"/>
      <c r="F159" s="134" t="n"/>
      <c r="G159" s="134" t="n"/>
      <c r="H159" s="134" t="n"/>
      <c r="I159" s="134" t="n"/>
      <c r="J159" s="134" t="n"/>
      <c r="K159" s="134" t="n"/>
      <c r="L159" s="135">
        <f>IFERROR(MAX(1,MIN(10,5+IF(I159&gt;=2,2,IF(I159&gt;=1.5,1,IF(I159&lt;1,-1,0)))+IF(J159="Yes",1,-1)+IF(OR(E159="Trending",E159="Volatile"),1,0))),"")</f>
        <v/>
      </c>
      <c r="M159" s="134" t="n"/>
    </row>
    <row r="160" ht="18" customHeight="1" s="98">
      <c r="A160" s="136" t="n"/>
      <c r="B160" s="136" t="n"/>
      <c r="C160" s="136" t="n"/>
      <c r="D160" s="136" t="n"/>
      <c r="E160" s="136" t="n"/>
      <c r="F160" s="136" t="n"/>
      <c r="G160" s="136" t="n"/>
      <c r="H160" s="136" t="n"/>
      <c r="I160" s="136" t="n"/>
      <c r="J160" s="136" t="n"/>
      <c r="K160" s="136" t="n"/>
      <c r="L160" s="137">
        <f>IFERROR(MAX(1,MIN(10,5+IF(I160&gt;=2,2,IF(I160&gt;=1.5,1,IF(I160&lt;1,-1,0)))+IF(J160="Yes",1,-1)+IF(OR(E160="Trending",E160="Volatile"),1,0))),"")</f>
        <v/>
      </c>
      <c r="M160" s="136" t="n"/>
    </row>
    <row r="161" ht="18" customHeight="1" s="98">
      <c r="A161" s="134" t="n"/>
      <c r="B161" s="134" t="n"/>
      <c r="C161" s="134" t="n"/>
      <c r="D161" s="134" t="n"/>
      <c r="E161" s="134" t="n"/>
      <c r="F161" s="134" t="n"/>
      <c r="G161" s="134" t="n"/>
      <c r="H161" s="134" t="n"/>
      <c r="I161" s="134" t="n"/>
      <c r="J161" s="134" t="n"/>
      <c r="K161" s="134" t="n"/>
      <c r="L161" s="135">
        <f>IFERROR(MAX(1,MIN(10,5+IF(I161&gt;=2,2,IF(I161&gt;=1.5,1,IF(I161&lt;1,-1,0)))+IF(J161="Yes",1,-1)+IF(OR(E161="Trending",E161="Volatile"),1,0))),"")</f>
        <v/>
      </c>
      <c r="M161" s="134" t="n"/>
    </row>
    <row r="162" ht="18" customHeight="1" s="98">
      <c r="A162" s="136" t="n"/>
      <c r="B162" s="136" t="n"/>
      <c r="C162" s="136" t="n"/>
      <c r="D162" s="136" t="n"/>
      <c r="E162" s="136" t="n"/>
      <c r="F162" s="136" t="n"/>
      <c r="G162" s="136" t="n"/>
      <c r="H162" s="136" t="n"/>
      <c r="I162" s="136" t="n"/>
      <c r="J162" s="136" t="n"/>
      <c r="K162" s="136" t="n"/>
      <c r="L162" s="137">
        <f>IFERROR(MAX(1,MIN(10,5+IF(I162&gt;=2,2,IF(I162&gt;=1.5,1,IF(I162&lt;1,-1,0)))+IF(J162="Yes",1,-1)+IF(OR(E162="Trending",E162="Volatile"),1,0))),"")</f>
        <v/>
      </c>
      <c r="M162" s="136" t="n"/>
    </row>
    <row r="163" ht="18" customHeight="1" s="98">
      <c r="A163" s="134" t="n"/>
      <c r="B163" s="134" t="n"/>
      <c r="C163" s="134" t="n"/>
      <c r="D163" s="134" t="n"/>
      <c r="E163" s="134" t="n"/>
      <c r="F163" s="134" t="n"/>
      <c r="G163" s="134" t="n"/>
      <c r="H163" s="134" t="n"/>
      <c r="I163" s="134" t="n"/>
      <c r="J163" s="134" t="n"/>
      <c r="K163" s="134" t="n"/>
      <c r="L163" s="135">
        <f>IFERROR(MAX(1,MIN(10,5+IF(I163&gt;=2,2,IF(I163&gt;=1.5,1,IF(I163&lt;1,-1,0)))+IF(J163="Yes",1,-1)+IF(OR(E163="Trending",E163="Volatile"),1,0))),"")</f>
        <v/>
      </c>
      <c r="M163" s="134" t="n"/>
    </row>
    <row r="164" ht="18" customHeight="1" s="98">
      <c r="A164" s="136" t="n"/>
      <c r="B164" s="136" t="n"/>
      <c r="C164" s="136" t="n"/>
      <c r="D164" s="136" t="n"/>
      <c r="E164" s="136" t="n"/>
      <c r="F164" s="136" t="n"/>
      <c r="G164" s="136" t="n"/>
      <c r="H164" s="136" t="n"/>
      <c r="I164" s="136" t="n"/>
      <c r="J164" s="136" t="n"/>
      <c r="K164" s="136" t="n"/>
      <c r="L164" s="137">
        <f>IFERROR(MAX(1,MIN(10,5+IF(I164&gt;=2,2,IF(I164&gt;=1.5,1,IF(I164&lt;1,-1,0)))+IF(J164="Yes",1,-1)+IF(OR(E164="Trending",E164="Volatile"),1,0))),"")</f>
        <v/>
      </c>
      <c r="M164" s="136" t="n"/>
    </row>
    <row r="165" ht="18" customHeight="1" s="98">
      <c r="A165" s="134" t="n"/>
      <c r="B165" s="134" t="n"/>
      <c r="C165" s="134" t="n"/>
      <c r="D165" s="134" t="n"/>
      <c r="E165" s="134" t="n"/>
      <c r="F165" s="134" t="n"/>
      <c r="G165" s="134" t="n"/>
      <c r="H165" s="134" t="n"/>
      <c r="I165" s="134" t="n"/>
      <c r="J165" s="134" t="n"/>
      <c r="K165" s="134" t="n"/>
      <c r="L165" s="135">
        <f>IFERROR(MAX(1,MIN(10,5+IF(I165&gt;=2,2,IF(I165&gt;=1.5,1,IF(I165&lt;1,-1,0)))+IF(J165="Yes",1,-1)+IF(OR(E165="Trending",E165="Volatile"),1,0))),"")</f>
        <v/>
      </c>
      <c r="M165" s="134" t="n"/>
    </row>
    <row r="166" ht="18" customHeight="1" s="98">
      <c r="A166" s="136" t="n"/>
      <c r="B166" s="136" t="n"/>
      <c r="C166" s="136" t="n"/>
      <c r="D166" s="136" t="n"/>
      <c r="E166" s="136" t="n"/>
      <c r="F166" s="136" t="n"/>
      <c r="G166" s="136" t="n"/>
      <c r="H166" s="136" t="n"/>
      <c r="I166" s="136" t="n"/>
      <c r="J166" s="136" t="n"/>
      <c r="K166" s="136" t="n"/>
      <c r="L166" s="137">
        <f>IFERROR(MAX(1,MIN(10,5+IF(I166&gt;=2,2,IF(I166&gt;=1.5,1,IF(I166&lt;1,-1,0)))+IF(J166="Yes",1,-1)+IF(OR(E166="Trending",E166="Volatile"),1,0))),"")</f>
        <v/>
      </c>
      <c r="M166" s="136" t="n"/>
    </row>
    <row r="167" ht="18" customHeight="1" s="98">
      <c r="A167" s="134" t="n"/>
      <c r="B167" s="134" t="n"/>
      <c r="C167" s="134" t="n"/>
      <c r="D167" s="134" t="n"/>
      <c r="E167" s="134" t="n"/>
      <c r="F167" s="134" t="n"/>
      <c r="G167" s="134" t="n"/>
      <c r="H167" s="134" t="n"/>
      <c r="I167" s="134" t="n"/>
      <c r="J167" s="134" t="n"/>
      <c r="K167" s="134" t="n"/>
      <c r="L167" s="135">
        <f>IFERROR(MAX(1,MIN(10,5+IF(I167&gt;=2,2,IF(I167&gt;=1.5,1,IF(I167&lt;1,-1,0)))+IF(J167="Yes",1,-1)+IF(OR(E167="Trending",E167="Volatile"),1,0))),"")</f>
        <v/>
      </c>
      <c r="M167" s="134" t="n"/>
    </row>
    <row r="168" ht="18" customHeight="1" s="98">
      <c r="A168" s="136" t="n"/>
      <c r="B168" s="136" t="n"/>
      <c r="C168" s="136" t="n"/>
      <c r="D168" s="136" t="n"/>
      <c r="E168" s="136" t="n"/>
      <c r="F168" s="136" t="n"/>
      <c r="G168" s="136" t="n"/>
      <c r="H168" s="136" t="n"/>
      <c r="I168" s="136" t="n"/>
      <c r="J168" s="136" t="n"/>
      <c r="K168" s="136" t="n"/>
      <c r="L168" s="137">
        <f>IFERROR(MAX(1,MIN(10,5+IF(I168&gt;=2,2,IF(I168&gt;=1.5,1,IF(I168&lt;1,-1,0)))+IF(J168="Yes",1,-1)+IF(OR(E168="Trending",E168="Volatile"),1,0))),"")</f>
        <v/>
      </c>
      <c r="M168" s="136" t="n"/>
    </row>
    <row r="169" ht="18" customHeight="1" s="98">
      <c r="A169" s="134" t="n"/>
      <c r="B169" s="134" t="n"/>
      <c r="C169" s="134" t="n"/>
      <c r="D169" s="134" t="n"/>
      <c r="E169" s="134" t="n"/>
      <c r="F169" s="134" t="n"/>
      <c r="G169" s="134" t="n"/>
      <c r="H169" s="134" t="n"/>
      <c r="I169" s="134" t="n"/>
      <c r="J169" s="134" t="n"/>
      <c r="K169" s="134" t="n"/>
      <c r="L169" s="135">
        <f>IFERROR(MAX(1,MIN(10,5+IF(I169&gt;=2,2,IF(I169&gt;=1.5,1,IF(I169&lt;1,-1,0)))+IF(J169="Yes",1,-1)+IF(OR(E169="Trending",E169="Volatile"),1,0))),"")</f>
        <v/>
      </c>
      <c r="M169" s="134" t="n"/>
    </row>
    <row r="170" ht="18" customHeight="1" s="98">
      <c r="A170" s="136" t="n"/>
      <c r="B170" s="136" t="n"/>
      <c r="C170" s="136" t="n"/>
      <c r="D170" s="136" t="n"/>
      <c r="E170" s="136" t="n"/>
      <c r="F170" s="136" t="n"/>
      <c r="G170" s="136" t="n"/>
      <c r="H170" s="136" t="n"/>
      <c r="I170" s="136" t="n"/>
      <c r="J170" s="136" t="n"/>
      <c r="K170" s="136" t="n"/>
      <c r="L170" s="137">
        <f>IFERROR(MAX(1,MIN(10,5+IF(I170&gt;=2,2,IF(I170&gt;=1.5,1,IF(I170&lt;1,-1,0)))+IF(J170="Yes",1,-1)+IF(OR(E170="Trending",E170="Volatile"),1,0))),"")</f>
        <v/>
      </c>
      <c r="M170" s="136" t="n"/>
    </row>
    <row r="171" ht="18" customHeight="1" s="98">
      <c r="A171" s="134" t="n"/>
      <c r="B171" s="134" t="n"/>
      <c r="C171" s="134" t="n"/>
      <c r="D171" s="134" t="n"/>
      <c r="E171" s="134" t="n"/>
      <c r="F171" s="134" t="n"/>
      <c r="G171" s="134" t="n"/>
      <c r="H171" s="134" t="n"/>
      <c r="I171" s="134" t="n"/>
      <c r="J171" s="134" t="n"/>
      <c r="K171" s="134" t="n"/>
      <c r="L171" s="135">
        <f>IFERROR(MAX(1,MIN(10,5+IF(I171&gt;=2,2,IF(I171&gt;=1.5,1,IF(I171&lt;1,-1,0)))+IF(J171="Yes",1,-1)+IF(OR(E171="Trending",E171="Volatile"),1,0))),"")</f>
        <v/>
      </c>
      <c r="M171" s="134" t="n"/>
    </row>
    <row r="172" ht="18" customHeight="1" s="98">
      <c r="A172" s="136" t="n"/>
      <c r="B172" s="136" t="n"/>
      <c r="C172" s="136" t="n"/>
      <c r="D172" s="136" t="n"/>
      <c r="E172" s="136" t="n"/>
      <c r="F172" s="136" t="n"/>
      <c r="G172" s="136" t="n"/>
      <c r="H172" s="136" t="n"/>
      <c r="I172" s="136" t="n"/>
      <c r="J172" s="136" t="n"/>
      <c r="K172" s="136" t="n"/>
      <c r="L172" s="137">
        <f>IFERROR(MAX(1,MIN(10,5+IF(I172&gt;=2,2,IF(I172&gt;=1.5,1,IF(I172&lt;1,-1,0)))+IF(J172="Yes",1,-1)+IF(OR(E172="Trending",E172="Volatile"),1,0))),"")</f>
        <v/>
      </c>
      <c r="M172" s="136" t="n"/>
    </row>
    <row r="173" ht="18" customHeight="1" s="98">
      <c r="A173" s="134" t="n"/>
      <c r="B173" s="134" t="n"/>
      <c r="C173" s="134" t="n"/>
      <c r="D173" s="134" t="n"/>
      <c r="E173" s="134" t="n"/>
      <c r="F173" s="134" t="n"/>
      <c r="G173" s="134" t="n"/>
      <c r="H173" s="134" t="n"/>
      <c r="I173" s="134" t="n"/>
      <c r="J173" s="134" t="n"/>
      <c r="K173" s="134" t="n"/>
      <c r="L173" s="135">
        <f>IFERROR(MAX(1,MIN(10,5+IF(I173&gt;=2,2,IF(I173&gt;=1.5,1,IF(I173&lt;1,-1,0)))+IF(J173="Yes",1,-1)+IF(OR(E173="Trending",E173="Volatile"),1,0))),"")</f>
        <v/>
      </c>
      <c r="M173" s="134" t="n"/>
    </row>
    <row r="174" ht="18" customHeight="1" s="98">
      <c r="A174" s="136" t="n"/>
      <c r="B174" s="136" t="n"/>
      <c r="C174" s="136" t="n"/>
      <c r="D174" s="136" t="n"/>
      <c r="E174" s="136" t="n"/>
      <c r="F174" s="136" t="n"/>
      <c r="G174" s="136" t="n"/>
      <c r="H174" s="136" t="n"/>
      <c r="I174" s="136" t="n"/>
      <c r="J174" s="136" t="n"/>
      <c r="K174" s="136" t="n"/>
      <c r="L174" s="137">
        <f>IFERROR(MAX(1,MIN(10,5+IF(I174&gt;=2,2,IF(I174&gt;=1.5,1,IF(I174&lt;1,-1,0)))+IF(J174="Yes",1,-1)+IF(OR(E174="Trending",E174="Volatile"),1,0))),"")</f>
        <v/>
      </c>
      <c r="M174" s="136" t="n"/>
    </row>
    <row r="175" ht="18" customHeight="1" s="98">
      <c r="A175" s="134" t="n"/>
      <c r="B175" s="134" t="n"/>
      <c r="C175" s="134" t="n"/>
      <c r="D175" s="134" t="n"/>
      <c r="E175" s="134" t="n"/>
      <c r="F175" s="134" t="n"/>
      <c r="G175" s="134" t="n"/>
      <c r="H175" s="134" t="n"/>
      <c r="I175" s="134" t="n"/>
      <c r="J175" s="134" t="n"/>
      <c r="K175" s="134" t="n"/>
      <c r="L175" s="135">
        <f>IFERROR(MAX(1,MIN(10,5+IF(I175&gt;=2,2,IF(I175&gt;=1.5,1,IF(I175&lt;1,-1,0)))+IF(J175="Yes",1,-1)+IF(OR(E175="Trending",E175="Volatile"),1,0))),"")</f>
        <v/>
      </c>
      <c r="M175" s="134" t="n"/>
    </row>
    <row r="176" ht="18" customHeight="1" s="98">
      <c r="A176" s="136" t="n"/>
      <c r="B176" s="136" t="n"/>
      <c r="C176" s="136" t="n"/>
      <c r="D176" s="136" t="n"/>
      <c r="E176" s="136" t="n"/>
      <c r="F176" s="136" t="n"/>
      <c r="G176" s="136" t="n"/>
      <c r="H176" s="136" t="n"/>
      <c r="I176" s="136" t="n"/>
      <c r="J176" s="136" t="n"/>
      <c r="K176" s="136" t="n"/>
      <c r="L176" s="137">
        <f>IFERROR(MAX(1,MIN(10,5+IF(I176&gt;=2,2,IF(I176&gt;=1.5,1,IF(I176&lt;1,-1,0)))+IF(J176="Yes",1,-1)+IF(OR(E176="Trending",E176="Volatile"),1,0))),"")</f>
        <v/>
      </c>
      <c r="M176" s="136" t="n"/>
    </row>
    <row r="177" ht="18" customHeight="1" s="98">
      <c r="A177" s="134" t="n"/>
      <c r="B177" s="134" t="n"/>
      <c r="C177" s="134" t="n"/>
      <c r="D177" s="134" t="n"/>
      <c r="E177" s="134" t="n"/>
      <c r="F177" s="134" t="n"/>
      <c r="G177" s="134" t="n"/>
      <c r="H177" s="134" t="n"/>
      <c r="I177" s="134" t="n"/>
      <c r="J177" s="134" t="n"/>
      <c r="K177" s="134" t="n"/>
      <c r="L177" s="135">
        <f>IFERROR(MAX(1,MIN(10,5+IF(I177&gt;=2,2,IF(I177&gt;=1.5,1,IF(I177&lt;1,-1,0)))+IF(J177="Yes",1,-1)+IF(OR(E177="Trending",E177="Volatile"),1,0))),"")</f>
        <v/>
      </c>
      <c r="M177" s="134" t="n"/>
    </row>
    <row r="178" ht="18" customHeight="1" s="98">
      <c r="A178" s="136" t="n"/>
      <c r="B178" s="136" t="n"/>
      <c r="C178" s="136" t="n"/>
      <c r="D178" s="136" t="n"/>
      <c r="E178" s="136" t="n"/>
      <c r="F178" s="136" t="n"/>
      <c r="G178" s="136" t="n"/>
      <c r="H178" s="136" t="n"/>
      <c r="I178" s="136" t="n"/>
      <c r="J178" s="136" t="n"/>
      <c r="K178" s="136" t="n"/>
      <c r="L178" s="137">
        <f>IFERROR(MAX(1,MIN(10,5+IF(I178&gt;=2,2,IF(I178&gt;=1.5,1,IF(I178&lt;1,-1,0)))+IF(J178="Yes",1,-1)+IF(OR(E178="Trending",E178="Volatile"),1,0))),"")</f>
        <v/>
      </c>
      <c r="M178" s="136" t="n"/>
    </row>
    <row r="179" ht="18" customHeight="1" s="98">
      <c r="A179" s="134" t="n"/>
      <c r="B179" s="134" t="n"/>
      <c r="C179" s="134" t="n"/>
      <c r="D179" s="134" t="n"/>
      <c r="E179" s="134" t="n"/>
      <c r="F179" s="134" t="n"/>
      <c r="G179" s="134" t="n"/>
      <c r="H179" s="134" t="n"/>
      <c r="I179" s="134" t="n"/>
      <c r="J179" s="134" t="n"/>
      <c r="K179" s="134" t="n"/>
      <c r="L179" s="135">
        <f>IFERROR(MAX(1,MIN(10,5+IF(I179&gt;=2,2,IF(I179&gt;=1.5,1,IF(I179&lt;1,-1,0)))+IF(J179="Yes",1,-1)+IF(OR(E179="Trending",E179="Volatile"),1,0))),"")</f>
        <v/>
      </c>
      <c r="M179" s="134" t="n"/>
    </row>
    <row r="180" ht="18" customHeight="1" s="98">
      <c r="A180" s="136" t="n"/>
      <c r="B180" s="136" t="n"/>
      <c r="C180" s="136" t="n"/>
      <c r="D180" s="136" t="n"/>
      <c r="E180" s="136" t="n"/>
      <c r="F180" s="136" t="n"/>
      <c r="G180" s="136" t="n"/>
      <c r="H180" s="136" t="n"/>
      <c r="I180" s="136" t="n"/>
      <c r="J180" s="136" t="n"/>
      <c r="K180" s="136" t="n"/>
      <c r="L180" s="137">
        <f>IFERROR(MAX(1,MIN(10,5+IF(I180&gt;=2,2,IF(I180&gt;=1.5,1,IF(I180&lt;1,-1,0)))+IF(J180="Yes",1,-1)+IF(OR(E180="Trending",E180="Volatile"),1,0))),"")</f>
        <v/>
      </c>
      <c r="M180" s="136" t="n"/>
    </row>
    <row r="181" ht="18" customHeight="1" s="98">
      <c r="A181" s="134" t="n"/>
      <c r="B181" s="134" t="n"/>
      <c r="C181" s="134" t="n"/>
      <c r="D181" s="134" t="n"/>
      <c r="E181" s="134" t="n"/>
      <c r="F181" s="134" t="n"/>
      <c r="G181" s="134" t="n"/>
      <c r="H181" s="134" t="n"/>
      <c r="I181" s="134" t="n"/>
      <c r="J181" s="134" t="n"/>
      <c r="K181" s="134" t="n"/>
      <c r="L181" s="135">
        <f>IFERROR(MAX(1,MIN(10,5+IF(I181&gt;=2,2,IF(I181&gt;=1.5,1,IF(I181&lt;1,-1,0)))+IF(J181="Yes",1,-1)+IF(OR(E181="Trending",E181="Volatile"),1,0))),"")</f>
        <v/>
      </c>
      <c r="M181" s="134" t="n"/>
    </row>
    <row r="182" ht="18" customHeight="1" s="98">
      <c r="A182" s="136" t="n"/>
      <c r="B182" s="136" t="n"/>
      <c r="C182" s="136" t="n"/>
      <c r="D182" s="136" t="n"/>
      <c r="E182" s="136" t="n"/>
      <c r="F182" s="136" t="n"/>
      <c r="G182" s="136" t="n"/>
      <c r="H182" s="136" t="n"/>
      <c r="I182" s="136" t="n"/>
      <c r="J182" s="136" t="n"/>
      <c r="K182" s="136" t="n"/>
      <c r="L182" s="137">
        <f>IFERROR(MAX(1,MIN(10,5+IF(I182&gt;=2,2,IF(I182&gt;=1.5,1,IF(I182&lt;1,-1,0)))+IF(J182="Yes",1,-1)+IF(OR(E182="Trending",E182="Volatile"),1,0))),"")</f>
        <v/>
      </c>
      <c r="M182" s="136" t="n"/>
    </row>
    <row r="183" ht="18" customHeight="1" s="98">
      <c r="A183" s="134" t="n"/>
      <c r="B183" s="134" t="n"/>
      <c r="C183" s="134" t="n"/>
      <c r="D183" s="134" t="n"/>
      <c r="E183" s="134" t="n"/>
      <c r="F183" s="134" t="n"/>
      <c r="G183" s="134" t="n"/>
      <c r="H183" s="134" t="n"/>
      <c r="I183" s="134" t="n"/>
      <c r="J183" s="134" t="n"/>
      <c r="K183" s="134" t="n"/>
      <c r="L183" s="135">
        <f>IFERROR(MAX(1,MIN(10,5+IF(I183&gt;=2,2,IF(I183&gt;=1.5,1,IF(I183&lt;1,-1,0)))+IF(J183="Yes",1,-1)+IF(OR(E183="Trending",E183="Volatile"),1,0))),"")</f>
        <v/>
      </c>
      <c r="M183" s="134" t="n"/>
    </row>
    <row r="184" ht="18" customHeight="1" s="98">
      <c r="A184" s="136" t="n"/>
      <c r="B184" s="136" t="n"/>
      <c r="C184" s="136" t="n"/>
      <c r="D184" s="136" t="n"/>
      <c r="E184" s="136" t="n"/>
      <c r="F184" s="136" t="n"/>
      <c r="G184" s="136" t="n"/>
      <c r="H184" s="136" t="n"/>
      <c r="I184" s="136" t="n"/>
      <c r="J184" s="136" t="n"/>
      <c r="K184" s="136" t="n"/>
      <c r="L184" s="137">
        <f>IFERROR(MAX(1,MIN(10,5+IF(I184&gt;=2,2,IF(I184&gt;=1.5,1,IF(I184&lt;1,-1,0)))+IF(J184="Yes",1,-1)+IF(OR(E184="Trending",E184="Volatile"),1,0))),"")</f>
        <v/>
      </c>
      <c r="M184" s="136" t="n"/>
    </row>
    <row r="185" ht="18" customHeight="1" s="98">
      <c r="A185" s="134" t="n"/>
      <c r="B185" s="134" t="n"/>
      <c r="C185" s="134" t="n"/>
      <c r="D185" s="134" t="n"/>
      <c r="E185" s="134" t="n"/>
      <c r="F185" s="134" t="n"/>
      <c r="G185" s="134" t="n"/>
      <c r="H185" s="134" t="n"/>
      <c r="I185" s="134" t="n"/>
      <c r="J185" s="134" t="n"/>
      <c r="K185" s="134" t="n"/>
      <c r="L185" s="135">
        <f>IFERROR(MAX(1,MIN(10,5+IF(I185&gt;=2,2,IF(I185&gt;=1.5,1,IF(I185&lt;1,-1,0)))+IF(J185="Yes",1,-1)+IF(OR(E185="Trending",E185="Volatile"),1,0))),"")</f>
        <v/>
      </c>
      <c r="M185" s="134" t="n"/>
    </row>
    <row r="186" ht="18" customHeight="1" s="98">
      <c r="A186" s="136" t="n"/>
      <c r="B186" s="136" t="n"/>
      <c r="C186" s="136" t="n"/>
      <c r="D186" s="136" t="n"/>
      <c r="E186" s="136" t="n"/>
      <c r="F186" s="136" t="n"/>
      <c r="G186" s="136" t="n"/>
      <c r="H186" s="136" t="n"/>
      <c r="I186" s="136" t="n"/>
      <c r="J186" s="136" t="n"/>
      <c r="K186" s="136" t="n"/>
      <c r="L186" s="137">
        <f>IFERROR(MAX(1,MIN(10,5+IF(I186&gt;=2,2,IF(I186&gt;=1.5,1,IF(I186&lt;1,-1,0)))+IF(J186="Yes",1,-1)+IF(OR(E186="Trending",E186="Volatile"),1,0))),"")</f>
        <v/>
      </c>
      <c r="M186" s="136" t="n"/>
    </row>
    <row r="187" ht="18" customHeight="1" s="98">
      <c r="A187" s="134" t="n"/>
      <c r="B187" s="134" t="n"/>
      <c r="C187" s="134" t="n"/>
      <c r="D187" s="134" t="n"/>
      <c r="E187" s="134" t="n"/>
      <c r="F187" s="134" t="n"/>
      <c r="G187" s="134" t="n"/>
      <c r="H187" s="134" t="n"/>
      <c r="I187" s="134" t="n"/>
      <c r="J187" s="134" t="n"/>
      <c r="K187" s="134" t="n"/>
      <c r="L187" s="135">
        <f>IFERROR(MAX(1,MIN(10,5+IF(I187&gt;=2,2,IF(I187&gt;=1.5,1,IF(I187&lt;1,-1,0)))+IF(J187="Yes",1,-1)+IF(OR(E187="Trending",E187="Volatile"),1,0))),"")</f>
        <v/>
      </c>
      <c r="M187" s="134" t="n"/>
    </row>
    <row r="188" ht="18" customHeight="1" s="98">
      <c r="A188" s="136" t="n"/>
      <c r="B188" s="136" t="n"/>
      <c r="C188" s="136" t="n"/>
      <c r="D188" s="136" t="n"/>
      <c r="E188" s="136" t="n"/>
      <c r="F188" s="136" t="n"/>
      <c r="G188" s="136" t="n"/>
      <c r="H188" s="136" t="n"/>
      <c r="I188" s="136" t="n"/>
      <c r="J188" s="136" t="n"/>
      <c r="K188" s="136" t="n"/>
      <c r="L188" s="137">
        <f>IFERROR(MAX(1,MIN(10,5+IF(I188&gt;=2,2,IF(I188&gt;=1.5,1,IF(I188&lt;1,-1,0)))+IF(J188="Yes",1,-1)+IF(OR(E188="Trending",E188="Volatile"),1,0))),"")</f>
        <v/>
      </c>
      <c r="M188" s="136" t="n"/>
    </row>
    <row r="189" ht="18" customHeight="1" s="98">
      <c r="A189" s="134" t="n"/>
      <c r="B189" s="134" t="n"/>
      <c r="C189" s="134" t="n"/>
      <c r="D189" s="134" t="n"/>
      <c r="E189" s="134" t="n"/>
      <c r="F189" s="134" t="n"/>
      <c r="G189" s="134" t="n"/>
      <c r="H189" s="134" t="n"/>
      <c r="I189" s="134" t="n"/>
      <c r="J189" s="134" t="n"/>
      <c r="K189" s="134" t="n"/>
      <c r="L189" s="135">
        <f>IFERROR(MAX(1,MIN(10,5+IF(I189&gt;=2,2,IF(I189&gt;=1.5,1,IF(I189&lt;1,-1,0)))+IF(J189="Yes",1,-1)+IF(OR(E189="Trending",E189="Volatile"),1,0))),"")</f>
        <v/>
      </c>
      <c r="M189" s="134" t="n"/>
    </row>
    <row r="190" ht="18" customHeight="1" s="98">
      <c r="A190" s="136" t="n"/>
      <c r="B190" s="136" t="n"/>
      <c r="C190" s="136" t="n"/>
      <c r="D190" s="136" t="n"/>
      <c r="E190" s="136" t="n"/>
      <c r="F190" s="136" t="n"/>
      <c r="G190" s="136" t="n"/>
      <c r="H190" s="136" t="n"/>
      <c r="I190" s="136" t="n"/>
      <c r="J190" s="136" t="n"/>
      <c r="K190" s="136" t="n"/>
      <c r="L190" s="137">
        <f>IFERROR(MAX(1,MIN(10,5+IF(I190&gt;=2,2,IF(I190&gt;=1.5,1,IF(I190&lt;1,-1,0)))+IF(J190="Yes",1,-1)+IF(OR(E190="Trending",E190="Volatile"),1,0))),"")</f>
        <v/>
      </c>
      <c r="M190" s="136" t="n"/>
    </row>
    <row r="191" ht="18" customHeight="1" s="98">
      <c r="A191" s="134" t="n"/>
      <c r="B191" s="134" t="n"/>
      <c r="C191" s="134" t="n"/>
      <c r="D191" s="134" t="n"/>
      <c r="E191" s="134" t="n"/>
      <c r="F191" s="134" t="n"/>
      <c r="G191" s="134" t="n"/>
      <c r="H191" s="134" t="n"/>
      <c r="I191" s="134" t="n"/>
      <c r="J191" s="134" t="n"/>
      <c r="K191" s="134" t="n"/>
      <c r="L191" s="135">
        <f>IFERROR(MAX(1,MIN(10,5+IF(I191&gt;=2,2,IF(I191&gt;=1.5,1,IF(I191&lt;1,-1,0)))+IF(J191="Yes",1,-1)+IF(OR(E191="Trending",E191="Volatile"),1,0))),"")</f>
        <v/>
      </c>
      <c r="M191" s="134" t="n"/>
    </row>
    <row r="192" ht="18" customHeight="1" s="98">
      <c r="A192" s="136" t="n"/>
      <c r="B192" s="136" t="n"/>
      <c r="C192" s="136" t="n"/>
      <c r="D192" s="136" t="n"/>
      <c r="E192" s="136" t="n"/>
      <c r="F192" s="136" t="n"/>
      <c r="G192" s="136" t="n"/>
      <c r="H192" s="136" t="n"/>
      <c r="I192" s="136" t="n"/>
      <c r="J192" s="136" t="n"/>
      <c r="K192" s="136" t="n"/>
      <c r="L192" s="137">
        <f>IFERROR(MAX(1,MIN(10,5+IF(I192&gt;=2,2,IF(I192&gt;=1.5,1,IF(I192&lt;1,-1,0)))+IF(J192="Yes",1,-1)+IF(OR(E192="Trending",E192="Volatile"),1,0))),"")</f>
        <v/>
      </c>
      <c r="M192" s="136" t="n"/>
    </row>
    <row r="193" ht="18" customHeight="1" s="98">
      <c r="A193" s="134" t="n"/>
      <c r="B193" s="134" t="n"/>
      <c r="C193" s="134" t="n"/>
      <c r="D193" s="134" t="n"/>
      <c r="E193" s="134" t="n"/>
      <c r="F193" s="134" t="n"/>
      <c r="G193" s="134" t="n"/>
      <c r="H193" s="134" t="n"/>
      <c r="I193" s="134" t="n"/>
      <c r="J193" s="134" t="n"/>
      <c r="K193" s="134" t="n"/>
      <c r="L193" s="135">
        <f>IFERROR(MAX(1,MIN(10,5+IF(I193&gt;=2,2,IF(I193&gt;=1.5,1,IF(I193&lt;1,-1,0)))+IF(J193="Yes",1,-1)+IF(OR(E193="Trending",E193="Volatile"),1,0))),"")</f>
        <v/>
      </c>
      <c r="M193" s="134" t="n"/>
    </row>
    <row r="194" ht="18" customHeight="1" s="98">
      <c r="A194" s="136" t="n"/>
      <c r="B194" s="136" t="n"/>
      <c r="C194" s="136" t="n"/>
      <c r="D194" s="136" t="n"/>
      <c r="E194" s="136" t="n"/>
      <c r="F194" s="136" t="n"/>
      <c r="G194" s="136" t="n"/>
      <c r="H194" s="136" t="n"/>
      <c r="I194" s="136" t="n"/>
      <c r="J194" s="136" t="n"/>
      <c r="K194" s="136" t="n"/>
      <c r="L194" s="137">
        <f>IFERROR(MAX(1,MIN(10,5+IF(I194&gt;=2,2,IF(I194&gt;=1.5,1,IF(I194&lt;1,-1,0)))+IF(J194="Yes",1,-1)+IF(OR(E194="Trending",E194="Volatile"),1,0))),"")</f>
        <v/>
      </c>
      <c r="M194" s="136" t="n"/>
    </row>
    <row r="195" ht="18" customHeight="1" s="98">
      <c r="A195" s="134" t="n"/>
      <c r="B195" s="134" t="n"/>
      <c r="C195" s="134" t="n"/>
      <c r="D195" s="134" t="n"/>
      <c r="E195" s="134" t="n"/>
      <c r="F195" s="134" t="n"/>
      <c r="G195" s="134" t="n"/>
      <c r="H195" s="134" t="n"/>
      <c r="I195" s="134" t="n"/>
      <c r="J195" s="134" t="n"/>
      <c r="K195" s="134" t="n"/>
      <c r="L195" s="135">
        <f>IFERROR(MAX(1,MIN(10,5+IF(I195&gt;=2,2,IF(I195&gt;=1.5,1,IF(I195&lt;1,-1,0)))+IF(J195="Yes",1,-1)+IF(OR(E195="Trending",E195="Volatile"),1,0))),"")</f>
        <v/>
      </c>
      <c r="M195" s="134" t="n"/>
    </row>
    <row r="196" ht="18" customHeight="1" s="98">
      <c r="A196" s="136" t="n"/>
      <c r="B196" s="136" t="n"/>
      <c r="C196" s="136" t="n"/>
      <c r="D196" s="136" t="n"/>
      <c r="E196" s="136" t="n"/>
      <c r="F196" s="136" t="n"/>
      <c r="G196" s="136" t="n"/>
      <c r="H196" s="136" t="n"/>
      <c r="I196" s="136" t="n"/>
      <c r="J196" s="136" t="n"/>
      <c r="K196" s="136" t="n"/>
      <c r="L196" s="137">
        <f>IFERROR(MAX(1,MIN(10,5+IF(I196&gt;=2,2,IF(I196&gt;=1.5,1,IF(I196&lt;1,-1,0)))+IF(J196="Yes",1,-1)+IF(OR(E196="Trending",E196="Volatile"),1,0))),"")</f>
        <v/>
      </c>
      <c r="M196" s="136" t="n"/>
    </row>
    <row r="197" ht="18" customHeight="1" s="98">
      <c r="A197" s="134" t="n"/>
      <c r="B197" s="134" t="n"/>
      <c r="C197" s="134" t="n"/>
      <c r="D197" s="134" t="n"/>
      <c r="E197" s="134" t="n"/>
      <c r="F197" s="134" t="n"/>
      <c r="G197" s="134" t="n"/>
      <c r="H197" s="134" t="n"/>
      <c r="I197" s="134" t="n"/>
      <c r="J197" s="134" t="n"/>
      <c r="K197" s="134" t="n"/>
      <c r="L197" s="135">
        <f>IFERROR(MAX(1,MIN(10,5+IF(I197&gt;=2,2,IF(I197&gt;=1.5,1,IF(I197&lt;1,-1,0)))+IF(J197="Yes",1,-1)+IF(OR(E197="Trending",E197="Volatile"),1,0))),"")</f>
        <v/>
      </c>
      <c r="M197" s="134" t="n"/>
    </row>
    <row r="198" ht="18" customHeight="1" s="98">
      <c r="A198" s="136" t="n"/>
      <c r="B198" s="136" t="n"/>
      <c r="C198" s="136" t="n"/>
      <c r="D198" s="136" t="n"/>
      <c r="E198" s="136" t="n"/>
      <c r="F198" s="136" t="n"/>
      <c r="G198" s="136" t="n"/>
      <c r="H198" s="136" t="n"/>
      <c r="I198" s="136" t="n"/>
      <c r="J198" s="136" t="n"/>
      <c r="K198" s="136" t="n"/>
      <c r="L198" s="137">
        <f>IFERROR(MAX(1,MIN(10,5+IF(I198&gt;=2,2,IF(I198&gt;=1.5,1,IF(I198&lt;1,-1,0)))+IF(J198="Yes",1,-1)+IF(OR(E198="Trending",E198="Volatile"),1,0))),"")</f>
        <v/>
      </c>
      <c r="M198" s="136" t="n"/>
    </row>
    <row r="199" ht="18" customHeight="1" s="98">
      <c r="A199" s="134" t="n"/>
      <c r="B199" s="134" t="n"/>
      <c r="C199" s="134" t="n"/>
      <c r="D199" s="134" t="n"/>
      <c r="E199" s="134" t="n"/>
      <c r="F199" s="134" t="n"/>
      <c r="G199" s="134" t="n"/>
      <c r="H199" s="134" t="n"/>
      <c r="I199" s="134" t="n"/>
      <c r="J199" s="134" t="n"/>
      <c r="K199" s="134" t="n"/>
      <c r="L199" s="135">
        <f>IFERROR(MAX(1,MIN(10,5+IF(I199&gt;=2,2,IF(I199&gt;=1.5,1,IF(I199&lt;1,-1,0)))+IF(J199="Yes",1,-1)+IF(OR(E199="Trending",E199="Volatile"),1,0))),"")</f>
        <v/>
      </c>
      <c r="M199" s="134" t="n"/>
    </row>
    <row r="200" ht="18" customHeight="1" s="98">
      <c r="A200" s="136" t="n"/>
      <c r="B200" s="136" t="n"/>
      <c r="C200" s="136" t="n"/>
      <c r="D200" s="136" t="n"/>
      <c r="E200" s="136" t="n"/>
      <c r="F200" s="136" t="n"/>
      <c r="G200" s="136" t="n"/>
      <c r="H200" s="136" t="n"/>
      <c r="I200" s="136" t="n"/>
      <c r="J200" s="136" t="n"/>
      <c r="K200" s="136" t="n"/>
      <c r="L200" s="137">
        <f>IFERROR(MAX(1,MIN(10,5+IF(I200&gt;=2,2,IF(I200&gt;=1.5,1,IF(I200&lt;1,-1,0)))+IF(J200="Yes",1,-1)+IF(OR(E200="Trending",E200="Volatile"),1,0))),"")</f>
        <v/>
      </c>
      <c r="M200" s="136" t="n"/>
    </row>
    <row r="201" ht="18" customHeight="1" s="98">
      <c r="A201" s="134" t="n"/>
      <c r="B201" s="134" t="n"/>
      <c r="C201" s="134" t="n"/>
      <c r="D201" s="134" t="n"/>
      <c r="E201" s="134" t="n"/>
      <c r="F201" s="134" t="n"/>
      <c r="G201" s="134" t="n"/>
      <c r="H201" s="134" t="n"/>
      <c r="I201" s="134" t="n"/>
      <c r="J201" s="134" t="n"/>
      <c r="K201" s="134" t="n"/>
      <c r="L201" s="135">
        <f>IFERROR(MAX(1,MIN(10,5+IF(I201&gt;=2,2,IF(I201&gt;=1.5,1,IF(I201&lt;1,-1,0)))+IF(J201="Yes",1,-1)+IF(OR(E201="Trending",E201="Volatile"),1,0))),"")</f>
        <v/>
      </c>
      <c r="M201" s="134" t="n"/>
    </row>
    <row r="202" ht="18" customHeight="1" s="98">
      <c r="A202" s="136" t="n"/>
      <c r="B202" s="136" t="n"/>
      <c r="C202" s="136" t="n"/>
      <c r="D202" s="136" t="n"/>
      <c r="E202" s="136" t="n"/>
      <c r="F202" s="136" t="n"/>
      <c r="G202" s="136" t="n"/>
      <c r="H202" s="136" t="n"/>
      <c r="I202" s="136" t="n"/>
      <c r="J202" s="136" t="n"/>
      <c r="K202" s="136" t="n"/>
      <c r="L202" s="137">
        <f>IFERROR(MAX(1,MIN(10,5+IF(I202&gt;=2,2,IF(I202&gt;=1.5,1,IF(I202&lt;1,-1,0)))+IF(J202="Yes",1,-1)+IF(OR(E202="Trending",E202="Volatile"),1,0))),"")</f>
        <v/>
      </c>
      <c r="M202" s="136" t="n"/>
    </row>
    <row r="203" ht="18" customHeight="1" s="98">
      <c r="A203" s="134" t="n"/>
      <c r="B203" s="134" t="n"/>
      <c r="C203" s="134" t="n"/>
      <c r="D203" s="134" t="n"/>
      <c r="E203" s="134" t="n"/>
      <c r="F203" s="134" t="n"/>
      <c r="G203" s="134" t="n"/>
      <c r="H203" s="134" t="n"/>
      <c r="I203" s="134" t="n"/>
      <c r="J203" s="134" t="n"/>
      <c r="K203" s="134" t="n"/>
      <c r="L203" s="135">
        <f>IFERROR(MAX(1,MIN(10,5+IF(I203&gt;=2,2,IF(I203&gt;=1.5,1,IF(I203&lt;1,-1,0)))+IF(J203="Yes",1,-1)+IF(OR(E203="Trending",E203="Volatile"),1,0))),"")</f>
        <v/>
      </c>
      <c r="M203" s="134" t="n"/>
    </row>
    <row r="204" ht="18" customHeight="1" s="98">
      <c r="A204" s="136" t="n"/>
      <c r="B204" s="136" t="n"/>
      <c r="C204" s="136" t="n"/>
      <c r="D204" s="136" t="n"/>
      <c r="E204" s="136" t="n"/>
      <c r="F204" s="136" t="n"/>
      <c r="G204" s="136" t="n"/>
      <c r="H204" s="136" t="n"/>
      <c r="I204" s="136" t="n"/>
      <c r="J204" s="136" t="n"/>
      <c r="K204" s="136" t="n"/>
      <c r="L204" s="137">
        <f>IFERROR(MAX(1,MIN(10,5+IF(I204&gt;=2,2,IF(I204&gt;=1.5,1,IF(I204&lt;1,-1,0)))+IF(J204="Yes",1,-1)+IF(OR(E204="Trending",E204="Volatile"),1,0))),"")</f>
        <v/>
      </c>
      <c r="M204" s="136" t="n"/>
    </row>
    <row r="205" ht="18" customHeight="1" s="98">
      <c r="A205" s="134" t="n"/>
      <c r="B205" s="134" t="n"/>
      <c r="C205" s="134" t="n"/>
      <c r="D205" s="134" t="n"/>
      <c r="E205" s="134" t="n"/>
      <c r="F205" s="134" t="n"/>
      <c r="G205" s="134" t="n"/>
      <c r="H205" s="134" t="n"/>
      <c r="I205" s="134" t="n"/>
      <c r="J205" s="134" t="n"/>
      <c r="K205" s="134" t="n"/>
      <c r="L205" s="135">
        <f>IFERROR(MAX(1,MIN(10,5+IF(I205&gt;=2,2,IF(I205&gt;=1.5,1,IF(I205&lt;1,-1,0)))+IF(J205="Yes",1,-1)+IF(OR(E205="Trending",E205="Volatile"),1,0))),"")</f>
        <v/>
      </c>
      <c r="M205" s="134" t="n"/>
    </row>
    <row r="206" ht="18" customHeight="1" s="98">
      <c r="A206" s="136" t="n"/>
      <c r="B206" s="136" t="n"/>
      <c r="C206" s="136" t="n"/>
      <c r="D206" s="136" t="n"/>
      <c r="E206" s="136" t="n"/>
      <c r="F206" s="136" t="n"/>
      <c r="G206" s="136" t="n"/>
      <c r="H206" s="136" t="n"/>
      <c r="I206" s="136" t="n"/>
      <c r="J206" s="136" t="n"/>
      <c r="K206" s="136" t="n"/>
      <c r="L206" s="137">
        <f>IFERROR(MAX(1,MIN(10,5+IF(I206&gt;=2,2,IF(I206&gt;=1.5,1,IF(I206&lt;1,-1,0)))+IF(J206="Yes",1,-1)+IF(OR(E206="Trending",E206="Volatile"),1,0))),"")</f>
        <v/>
      </c>
      <c r="M206" s="136" t="n"/>
    </row>
    <row r="207" ht="18" customHeight="1" s="98">
      <c r="A207" s="134" t="n"/>
      <c r="B207" s="134" t="n"/>
      <c r="C207" s="134" t="n"/>
      <c r="D207" s="134" t="n"/>
      <c r="E207" s="134" t="n"/>
      <c r="F207" s="134" t="n"/>
      <c r="G207" s="134" t="n"/>
      <c r="H207" s="134" t="n"/>
      <c r="I207" s="134" t="n"/>
      <c r="J207" s="134" t="n"/>
      <c r="K207" s="134" t="n"/>
      <c r="L207" s="135">
        <f>IFERROR(MAX(1,MIN(10,5+IF(I207&gt;=2,2,IF(I207&gt;=1.5,1,IF(I207&lt;1,-1,0)))+IF(J207="Yes",1,-1)+IF(OR(E207="Trending",E207="Volatile"),1,0))),"")</f>
        <v/>
      </c>
      <c r="M207" s="134" t="n"/>
    </row>
    <row r="208" ht="18" customHeight="1" s="98">
      <c r="A208" s="136" t="n"/>
      <c r="B208" s="136" t="n"/>
      <c r="C208" s="136" t="n"/>
      <c r="D208" s="136" t="n"/>
      <c r="E208" s="136" t="n"/>
      <c r="F208" s="136" t="n"/>
      <c r="G208" s="136" t="n"/>
      <c r="H208" s="136" t="n"/>
      <c r="I208" s="136" t="n"/>
      <c r="J208" s="136" t="n"/>
      <c r="K208" s="136" t="n"/>
      <c r="L208" s="137">
        <f>IFERROR(MAX(1,MIN(10,5+IF(I208&gt;=2,2,IF(I208&gt;=1.5,1,IF(I208&lt;1,-1,0)))+IF(J208="Yes",1,-1)+IF(OR(E208="Trending",E208="Volatile"),1,0))),"")</f>
        <v/>
      </c>
      <c r="M208" s="136" t="n"/>
    </row>
    <row r="209" ht="18" customHeight="1" s="98">
      <c r="A209" s="134" t="n"/>
      <c r="B209" s="134" t="n"/>
      <c r="C209" s="134" t="n"/>
      <c r="D209" s="134" t="n"/>
      <c r="E209" s="134" t="n"/>
      <c r="F209" s="134" t="n"/>
      <c r="G209" s="134" t="n"/>
      <c r="H209" s="134" t="n"/>
      <c r="I209" s="134" t="n"/>
      <c r="J209" s="134" t="n"/>
      <c r="K209" s="134" t="n"/>
      <c r="L209" s="135">
        <f>IFERROR(MAX(1,MIN(10,5+IF(I209&gt;=2,2,IF(I209&gt;=1.5,1,IF(I209&lt;1,-1,0)))+IF(J209="Yes",1,-1)+IF(OR(E209="Trending",E209="Volatile"),1,0))),"")</f>
        <v/>
      </c>
      <c r="M209" s="134" t="n"/>
    </row>
    <row r="210" ht="18" customHeight="1" s="98">
      <c r="A210" s="136" t="n"/>
      <c r="B210" s="136" t="n"/>
      <c r="C210" s="136" t="n"/>
      <c r="D210" s="136" t="n"/>
      <c r="E210" s="136" t="n"/>
      <c r="F210" s="136" t="n"/>
      <c r="G210" s="136" t="n"/>
      <c r="H210" s="136" t="n"/>
      <c r="I210" s="136" t="n"/>
      <c r="J210" s="136" t="n"/>
      <c r="K210" s="136" t="n"/>
      <c r="L210" s="137">
        <f>IFERROR(MAX(1,MIN(10,5+IF(I210&gt;=2,2,IF(I210&gt;=1.5,1,IF(I210&lt;1,-1,0)))+IF(J210="Yes",1,-1)+IF(OR(E210="Trending",E210="Volatile"),1,0))),"")</f>
        <v/>
      </c>
      <c r="M210" s="136" t="n"/>
    </row>
    <row r="211" ht="18" customHeight="1" s="98">
      <c r="A211" s="134" t="n"/>
      <c r="B211" s="134" t="n"/>
      <c r="C211" s="134" t="n"/>
      <c r="D211" s="134" t="n"/>
      <c r="E211" s="134" t="n"/>
      <c r="F211" s="134" t="n"/>
      <c r="G211" s="134" t="n"/>
      <c r="H211" s="134" t="n"/>
      <c r="I211" s="134" t="n"/>
      <c r="J211" s="134" t="n"/>
      <c r="K211" s="134" t="n"/>
      <c r="L211" s="135">
        <f>IFERROR(MAX(1,MIN(10,5+IF(I211&gt;=2,2,IF(I211&gt;=1.5,1,IF(I211&lt;1,-1,0)))+IF(J211="Yes",1,-1)+IF(OR(E211="Trending",E211="Volatile"),1,0))),"")</f>
        <v/>
      </c>
      <c r="M211" s="134" t="n"/>
    </row>
    <row r="212" ht="18" customHeight="1" s="98">
      <c r="A212" s="136" t="n"/>
      <c r="B212" s="136" t="n"/>
      <c r="C212" s="136" t="n"/>
      <c r="D212" s="136" t="n"/>
      <c r="E212" s="136" t="n"/>
      <c r="F212" s="136" t="n"/>
      <c r="G212" s="136" t="n"/>
      <c r="H212" s="136" t="n"/>
      <c r="I212" s="136" t="n"/>
      <c r="J212" s="136" t="n"/>
      <c r="K212" s="136" t="n"/>
      <c r="L212" s="137">
        <f>IFERROR(MAX(1,MIN(10,5+IF(I212&gt;=2,2,IF(I212&gt;=1.5,1,IF(I212&lt;1,-1,0)))+IF(J212="Yes",1,-1)+IF(OR(E212="Trending",E212="Volatile"),1,0))),"")</f>
        <v/>
      </c>
      <c r="M212" s="136" t="n"/>
    </row>
    <row r="213" ht="18" customHeight="1" s="98">
      <c r="A213" s="134" t="n"/>
      <c r="B213" s="134" t="n"/>
      <c r="C213" s="134" t="n"/>
      <c r="D213" s="134" t="n"/>
      <c r="E213" s="134" t="n"/>
      <c r="F213" s="134" t="n"/>
      <c r="G213" s="134" t="n"/>
      <c r="H213" s="134" t="n"/>
      <c r="I213" s="134" t="n"/>
      <c r="J213" s="134" t="n"/>
      <c r="K213" s="134" t="n"/>
      <c r="L213" s="135">
        <f>IFERROR(MAX(1,MIN(10,5+IF(I213&gt;=2,2,IF(I213&gt;=1.5,1,IF(I213&lt;1,-1,0)))+IF(J213="Yes",1,-1)+IF(OR(E213="Trending",E213="Volatile"),1,0))),"")</f>
        <v/>
      </c>
      <c r="M213" s="134" t="n"/>
    </row>
    <row r="214" ht="18" customHeight="1" s="98">
      <c r="A214" s="136" t="n"/>
      <c r="B214" s="136" t="n"/>
      <c r="C214" s="136" t="n"/>
      <c r="D214" s="136" t="n"/>
      <c r="E214" s="136" t="n"/>
      <c r="F214" s="136" t="n"/>
      <c r="G214" s="136" t="n"/>
      <c r="H214" s="136" t="n"/>
      <c r="I214" s="136" t="n"/>
      <c r="J214" s="136" t="n"/>
      <c r="K214" s="136" t="n"/>
      <c r="L214" s="137">
        <f>IFERROR(MAX(1,MIN(10,5+IF(I214&gt;=2,2,IF(I214&gt;=1.5,1,IF(I214&lt;1,-1,0)))+IF(J214="Yes",1,-1)+IF(OR(E214="Trending",E214="Volatile"),1,0))),"")</f>
        <v/>
      </c>
      <c r="M214" s="136" t="n"/>
    </row>
    <row r="215" ht="18" customHeight="1" s="98">
      <c r="A215" s="134" t="n"/>
      <c r="B215" s="134" t="n"/>
      <c r="C215" s="134" t="n"/>
      <c r="D215" s="134" t="n"/>
      <c r="E215" s="134" t="n"/>
      <c r="F215" s="134" t="n"/>
      <c r="G215" s="134" t="n"/>
      <c r="H215" s="134" t="n"/>
      <c r="I215" s="134" t="n"/>
      <c r="J215" s="134" t="n"/>
      <c r="K215" s="134" t="n"/>
      <c r="L215" s="135">
        <f>IFERROR(MAX(1,MIN(10,5+IF(I215&gt;=2,2,IF(I215&gt;=1.5,1,IF(I215&lt;1,-1,0)))+IF(J215="Yes",1,-1)+IF(OR(E215="Trending",E215="Volatile"),1,0))),"")</f>
        <v/>
      </c>
      <c r="M215" s="134" t="n"/>
    </row>
    <row r="216" ht="18" customHeight="1" s="98">
      <c r="A216" s="136" t="n"/>
      <c r="B216" s="136" t="n"/>
      <c r="C216" s="136" t="n"/>
      <c r="D216" s="136" t="n"/>
      <c r="E216" s="136" t="n"/>
      <c r="F216" s="136" t="n"/>
      <c r="G216" s="136" t="n"/>
      <c r="H216" s="136" t="n"/>
      <c r="I216" s="136" t="n"/>
      <c r="J216" s="136" t="n"/>
      <c r="K216" s="136" t="n"/>
      <c r="L216" s="137">
        <f>IFERROR(MAX(1,MIN(10,5+IF(I216&gt;=2,2,IF(I216&gt;=1.5,1,IF(I216&lt;1,-1,0)))+IF(J216="Yes",1,-1)+IF(OR(E216="Trending",E216="Volatile"),1,0))),"")</f>
        <v/>
      </c>
      <c r="M216" s="136" t="n"/>
    </row>
    <row r="217" ht="18" customHeight="1" s="98">
      <c r="A217" s="134" t="n"/>
      <c r="B217" s="134" t="n"/>
      <c r="C217" s="134" t="n"/>
      <c r="D217" s="134" t="n"/>
      <c r="E217" s="134" t="n"/>
      <c r="F217" s="134" t="n"/>
      <c r="G217" s="134" t="n"/>
      <c r="H217" s="134" t="n"/>
      <c r="I217" s="134" t="n"/>
      <c r="J217" s="134" t="n"/>
      <c r="K217" s="134" t="n"/>
      <c r="L217" s="135">
        <f>IFERROR(MAX(1,MIN(10,5+IF(I217&gt;=2,2,IF(I217&gt;=1.5,1,IF(I217&lt;1,-1,0)))+IF(J217="Yes",1,-1)+IF(OR(E217="Trending",E217="Volatile"),1,0))),"")</f>
        <v/>
      </c>
      <c r="M217" s="134" t="n"/>
    </row>
    <row r="218" ht="18" customHeight="1" s="98">
      <c r="A218" s="136" t="n"/>
      <c r="B218" s="136" t="n"/>
      <c r="C218" s="136" t="n"/>
      <c r="D218" s="136" t="n"/>
      <c r="E218" s="136" t="n"/>
      <c r="F218" s="136" t="n"/>
      <c r="G218" s="136" t="n"/>
      <c r="H218" s="136" t="n"/>
      <c r="I218" s="136" t="n"/>
      <c r="J218" s="136" t="n"/>
      <c r="K218" s="136" t="n"/>
      <c r="L218" s="137">
        <f>IFERROR(MAX(1,MIN(10,5+IF(I218&gt;=2,2,IF(I218&gt;=1.5,1,IF(I218&lt;1,-1,0)))+IF(J218="Yes",1,-1)+IF(OR(E218="Trending",E218="Volatile"),1,0))),"")</f>
        <v/>
      </c>
      <c r="M218" s="136" t="n"/>
    </row>
    <row r="219" ht="18" customHeight="1" s="98">
      <c r="A219" s="134" t="n"/>
      <c r="B219" s="134" t="n"/>
      <c r="C219" s="134" t="n"/>
      <c r="D219" s="134" t="n"/>
      <c r="E219" s="134" t="n"/>
      <c r="F219" s="134" t="n"/>
      <c r="G219" s="134" t="n"/>
      <c r="H219" s="134" t="n"/>
      <c r="I219" s="134" t="n"/>
      <c r="J219" s="134" t="n"/>
      <c r="K219" s="134" t="n"/>
      <c r="L219" s="135">
        <f>IFERROR(MAX(1,MIN(10,5+IF(I219&gt;=2,2,IF(I219&gt;=1.5,1,IF(I219&lt;1,-1,0)))+IF(J219="Yes",1,-1)+IF(OR(E219="Trending",E219="Volatile"),1,0))),"")</f>
        <v/>
      </c>
      <c r="M219" s="134" t="n"/>
    </row>
    <row r="220" ht="18" customHeight="1" s="98">
      <c r="A220" s="136" t="n"/>
      <c r="B220" s="136" t="n"/>
      <c r="C220" s="136" t="n"/>
      <c r="D220" s="136" t="n"/>
      <c r="E220" s="136" t="n"/>
      <c r="F220" s="136" t="n"/>
      <c r="G220" s="136" t="n"/>
      <c r="H220" s="136" t="n"/>
      <c r="I220" s="136" t="n"/>
      <c r="J220" s="136" t="n"/>
      <c r="K220" s="136" t="n"/>
      <c r="L220" s="137">
        <f>IFERROR(MAX(1,MIN(10,5+IF(I220&gt;=2,2,IF(I220&gt;=1.5,1,IF(I220&lt;1,-1,0)))+IF(J220="Yes",1,-1)+IF(OR(E220="Trending",E220="Volatile"),1,0))),"")</f>
        <v/>
      </c>
      <c r="M220" s="136" t="n"/>
    </row>
    <row r="221" ht="18" customHeight="1" s="98">
      <c r="A221" s="134" t="n"/>
      <c r="B221" s="134" t="n"/>
      <c r="C221" s="134" t="n"/>
      <c r="D221" s="134" t="n"/>
      <c r="E221" s="134" t="n"/>
      <c r="F221" s="134" t="n"/>
      <c r="G221" s="134" t="n"/>
      <c r="H221" s="134" t="n"/>
      <c r="I221" s="134" t="n"/>
      <c r="J221" s="134" t="n"/>
      <c r="K221" s="134" t="n"/>
      <c r="L221" s="135">
        <f>IFERROR(MAX(1,MIN(10,5+IF(I221&gt;=2,2,IF(I221&gt;=1.5,1,IF(I221&lt;1,-1,0)))+IF(J221="Yes",1,-1)+IF(OR(E221="Trending",E221="Volatile"),1,0))),"")</f>
        <v/>
      </c>
      <c r="M221" s="134" t="n"/>
    </row>
    <row r="222" ht="18" customHeight="1" s="98">
      <c r="A222" s="136" t="n"/>
      <c r="B222" s="136" t="n"/>
      <c r="C222" s="136" t="n"/>
      <c r="D222" s="136" t="n"/>
      <c r="E222" s="136" t="n"/>
      <c r="F222" s="136" t="n"/>
      <c r="G222" s="136" t="n"/>
      <c r="H222" s="136" t="n"/>
      <c r="I222" s="136" t="n"/>
      <c r="J222" s="136" t="n"/>
      <c r="K222" s="136" t="n"/>
      <c r="L222" s="137">
        <f>IFERROR(MAX(1,MIN(10,5+IF(I222&gt;=2,2,IF(I222&gt;=1.5,1,IF(I222&lt;1,-1,0)))+IF(J222="Yes",1,-1)+IF(OR(E222="Trending",E222="Volatile"),1,0))),"")</f>
        <v/>
      </c>
      <c r="M222" s="136" t="n"/>
    </row>
    <row r="223" ht="18" customHeight="1" s="98">
      <c r="A223" s="134" t="n"/>
      <c r="B223" s="134" t="n"/>
      <c r="C223" s="134" t="n"/>
      <c r="D223" s="134" t="n"/>
      <c r="E223" s="134" t="n"/>
      <c r="F223" s="134" t="n"/>
      <c r="G223" s="134" t="n"/>
      <c r="H223" s="134" t="n"/>
      <c r="I223" s="134" t="n"/>
      <c r="J223" s="134" t="n"/>
      <c r="K223" s="134" t="n"/>
      <c r="L223" s="135">
        <f>IFERROR(MAX(1,MIN(10,5+IF(I223&gt;=2,2,IF(I223&gt;=1.5,1,IF(I223&lt;1,-1,0)))+IF(J223="Yes",1,-1)+IF(OR(E223="Trending",E223="Volatile"),1,0))),"")</f>
        <v/>
      </c>
      <c r="M223" s="134" t="n"/>
    </row>
    <row r="224" ht="18" customHeight="1" s="98">
      <c r="A224" s="136" t="n"/>
      <c r="B224" s="136" t="n"/>
      <c r="C224" s="136" t="n"/>
      <c r="D224" s="136" t="n"/>
      <c r="E224" s="136" t="n"/>
      <c r="F224" s="136" t="n"/>
      <c r="G224" s="136" t="n"/>
      <c r="H224" s="136" t="n"/>
      <c r="I224" s="136" t="n"/>
      <c r="J224" s="136" t="n"/>
      <c r="K224" s="136" t="n"/>
      <c r="L224" s="137">
        <f>IFERROR(MAX(1,MIN(10,5+IF(I224&gt;=2,2,IF(I224&gt;=1.5,1,IF(I224&lt;1,-1,0)))+IF(J224="Yes",1,-1)+IF(OR(E224="Trending",E224="Volatile"),1,0))),"")</f>
        <v/>
      </c>
      <c r="M224" s="136" t="n"/>
    </row>
    <row r="225" ht="18" customHeight="1" s="98">
      <c r="A225" s="134" t="n"/>
      <c r="B225" s="134" t="n"/>
      <c r="C225" s="134" t="n"/>
      <c r="D225" s="134" t="n"/>
      <c r="E225" s="134" t="n"/>
      <c r="F225" s="134" t="n"/>
      <c r="G225" s="134" t="n"/>
      <c r="H225" s="134" t="n"/>
      <c r="I225" s="134" t="n"/>
      <c r="J225" s="134" t="n"/>
      <c r="K225" s="134" t="n"/>
      <c r="L225" s="135">
        <f>IFERROR(MAX(1,MIN(10,5+IF(I225&gt;=2,2,IF(I225&gt;=1.5,1,IF(I225&lt;1,-1,0)))+IF(J225="Yes",1,-1)+IF(OR(E225="Trending",E225="Volatile"),1,0))),"")</f>
        <v/>
      </c>
      <c r="M225" s="134" t="n"/>
    </row>
    <row r="226" ht="18" customHeight="1" s="98">
      <c r="A226" s="136" t="n"/>
      <c r="B226" s="136" t="n"/>
      <c r="C226" s="136" t="n"/>
      <c r="D226" s="136" t="n"/>
      <c r="E226" s="136" t="n"/>
      <c r="F226" s="136" t="n"/>
      <c r="G226" s="136" t="n"/>
      <c r="H226" s="136" t="n"/>
      <c r="I226" s="136" t="n"/>
      <c r="J226" s="136" t="n"/>
      <c r="K226" s="136" t="n"/>
      <c r="L226" s="137">
        <f>IFERROR(MAX(1,MIN(10,5+IF(I226&gt;=2,2,IF(I226&gt;=1.5,1,IF(I226&lt;1,-1,0)))+IF(J226="Yes",1,-1)+IF(OR(E226="Trending",E226="Volatile"),1,0))),"")</f>
        <v/>
      </c>
      <c r="M226" s="136" t="n"/>
    </row>
    <row r="227" ht="18" customHeight="1" s="98">
      <c r="A227" s="134" t="n"/>
      <c r="B227" s="134" t="n"/>
      <c r="C227" s="134" t="n"/>
      <c r="D227" s="134" t="n"/>
      <c r="E227" s="134" t="n"/>
      <c r="F227" s="134" t="n"/>
      <c r="G227" s="134" t="n"/>
      <c r="H227" s="134" t="n"/>
      <c r="I227" s="134" t="n"/>
      <c r="J227" s="134" t="n"/>
      <c r="K227" s="134" t="n"/>
      <c r="L227" s="135">
        <f>IFERROR(MAX(1,MIN(10,5+IF(I227&gt;=2,2,IF(I227&gt;=1.5,1,IF(I227&lt;1,-1,0)))+IF(J227="Yes",1,-1)+IF(OR(E227="Trending",E227="Volatile"),1,0))),"")</f>
        <v/>
      </c>
      <c r="M227" s="134" t="n"/>
    </row>
    <row r="228" ht="18" customHeight="1" s="98">
      <c r="A228" s="136" t="n"/>
      <c r="B228" s="136" t="n"/>
      <c r="C228" s="136" t="n"/>
      <c r="D228" s="136" t="n"/>
      <c r="E228" s="136" t="n"/>
      <c r="F228" s="136" t="n"/>
      <c r="G228" s="136" t="n"/>
      <c r="H228" s="136" t="n"/>
      <c r="I228" s="136" t="n"/>
      <c r="J228" s="136" t="n"/>
      <c r="K228" s="136" t="n"/>
      <c r="L228" s="137">
        <f>IFERROR(MAX(1,MIN(10,5+IF(I228&gt;=2,2,IF(I228&gt;=1.5,1,IF(I228&lt;1,-1,0)))+IF(J228="Yes",1,-1)+IF(OR(E228="Trending",E228="Volatile"),1,0))),"")</f>
        <v/>
      </c>
      <c r="M228" s="136" t="n"/>
    </row>
    <row r="229" ht="18" customHeight="1" s="98">
      <c r="A229" s="134" t="n"/>
      <c r="B229" s="134" t="n"/>
      <c r="C229" s="134" t="n"/>
      <c r="D229" s="134" t="n"/>
      <c r="E229" s="134" t="n"/>
      <c r="F229" s="134" t="n"/>
      <c r="G229" s="134" t="n"/>
      <c r="H229" s="134" t="n"/>
      <c r="I229" s="134" t="n"/>
      <c r="J229" s="134" t="n"/>
      <c r="K229" s="134" t="n"/>
      <c r="L229" s="135">
        <f>IFERROR(MAX(1,MIN(10,5+IF(I229&gt;=2,2,IF(I229&gt;=1.5,1,IF(I229&lt;1,-1,0)))+IF(J229="Yes",1,-1)+IF(OR(E229="Trending",E229="Volatile"),1,0))),"")</f>
        <v/>
      </c>
      <c r="M229" s="134" t="n"/>
    </row>
    <row r="230" ht="18" customHeight="1" s="98">
      <c r="A230" s="136" t="n"/>
      <c r="B230" s="136" t="n"/>
      <c r="C230" s="136" t="n"/>
      <c r="D230" s="136" t="n"/>
      <c r="E230" s="136" t="n"/>
      <c r="F230" s="136" t="n"/>
      <c r="G230" s="136" t="n"/>
      <c r="H230" s="136" t="n"/>
      <c r="I230" s="136" t="n"/>
      <c r="J230" s="136" t="n"/>
      <c r="K230" s="136" t="n"/>
      <c r="L230" s="137">
        <f>IFERROR(MAX(1,MIN(10,5+IF(I230&gt;=2,2,IF(I230&gt;=1.5,1,IF(I230&lt;1,-1,0)))+IF(J230="Yes",1,-1)+IF(OR(E230="Trending",E230="Volatile"),1,0))),"")</f>
        <v/>
      </c>
      <c r="M230" s="136" t="n"/>
    </row>
    <row r="231" ht="18" customHeight="1" s="98">
      <c r="A231" s="134" t="n"/>
      <c r="B231" s="134" t="n"/>
      <c r="C231" s="134" t="n"/>
      <c r="D231" s="134" t="n"/>
      <c r="E231" s="134" t="n"/>
      <c r="F231" s="134" t="n"/>
      <c r="G231" s="134" t="n"/>
      <c r="H231" s="134" t="n"/>
      <c r="I231" s="134" t="n"/>
      <c r="J231" s="134" t="n"/>
      <c r="K231" s="134" t="n"/>
      <c r="L231" s="135">
        <f>IFERROR(MAX(1,MIN(10,5+IF(I231&gt;=2,2,IF(I231&gt;=1.5,1,IF(I231&lt;1,-1,0)))+IF(J231="Yes",1,-1)+IF(OR(E231="Trending",E231="Volatile"),1,0))),"")</f>
        <v/>
      </c>
      <c r="M231" s="134" t="n"/>
    </row>
    <row r="232" ht="18" customHeight="1" s="98">
      <c r="A232" s="136" t="n"/>
      <c r="B232" s="136" t="n"/>
      <c r="C232" s="136" t="n"/>
      <c r="D232" s="136" t="n"/>
      <c r="E232" s="136" t="n"/>
      <c r="F232" s="136" t="n"/>
      <c r="G232" s="136" t="n"/>
      <c r="H232" s="136" t="n"/>
      <c r="I232" s="136" t="n"/>
      <c r="J232" s="136" t="n"/>
      <c r="K232" s="136" t="n"/>
      <c r="L232" s="137">
        <f>IFERROR(MAX(1,MIN(10,5+IF(I232&gt;=2,2,IF(I232&gt;=1.5,1,IF(I232&lt;1,-1,0)))+IF(J232="Yes",1,-1)+IF(OR(E232="Trending",E232="Volatile"),1,0))),"")</f>
        <v/>
      </c>
      <c r="M232" s="136" t="n"/>
    </row>
    <row r="233" ht="18" customHeight="1" s="98">
      <c r="A233" s="134" t="n"/>
      <c r="B233" s="134" t="n"/>
      <c r="C233" s="134" t="n"/>
      <c r="D233" s="134" t="n"/>
      <c r="E233" s="134" t="n"/>
      <c r="F233" s="134" t="n"/>
      <c r="G233" s="134" t="n"/>
      <c r="H233" s="134" t="n"/>
      <c r="I233" s="134" t="n"/>
      <c r="J233" s="134" t="n"/>
      <c r="K233" s="134" t="n"/>
      <c r="L233" s="135">
        <f>IFERROR(MAX(1,MIN(10,5+IF(I233&gt;=2,2,IF(I233&gt;=1.5,1,IF(I233&lt;1,-1,0)))+IF(J233="Yes",1,-1)+IF(OR(E233="Trending",E233="Volatile"),1,0))),"")</f>
        <v/>
      </c>
      <c r="M233" s="134" t="n"/>
    </row>
    <row r="234" ht="18" customHeight="1" s="98">
      <c r="A234" s="136" t="n"/>
      <c r="B234" s="136" t="n"/>
      <c r="C234" s="136" t="n"/>
      <c r="D234" s="136" t="n"/>
      <c r="E234" s="136" t="n"/>
      <c r="F234" s="136" t="n"/>
      <c r="G234" s="136" t="n"/>
      <c r="H234" s="136" t="n"/>
      <c r="I234" s="136" t="n"/>
      <c r="J234" s="136" t="n"/>
      <c r="K234" s="136" t="n"/>
      <c r="L234" s="137">
        <f>IFERROR(MAX(1,MIN(10,5+IF(I234&gt;=2,2,IF(I234&gt;=1.5,1,IF(I234&lt;1,-1,0)))+IF(J234="Yes",1,-1)+IF(OR(E234="Trending",E234="Volatile"),1,0))),"")</f>
        <v/>
      </c>
      <c r="M234" s="136" t="n"/>
    </row>
    <row r="235" ht="18" customHeight="1" s="98">
      <c r="A235" s="134" t="n"/>
      <c r="B235" s="134" t="n"/>
      <c r="C235" s="134" t="n"/>
      <c r="D235" s="134" t="n"/>
      <c r="E235" s="134" t="n"/>
      <c r="F235" s="134" t="n"/>
      <c r="G235" s="134" t="n"/>
      <c r="H235" s="134" t="n"/>
      <c r="I235" s="134" t="n"/>
      <c r="J235" s="134" t="n"/>
      <c r="K235" s="134" t="n"/>
      <c r="L235" s="135">
        <f>IFERROR(MAX(1,MIN(10,5+IF(I235&gt;=2,2,IF(I235&gt;=1.5,1,IF(I235&lt;1,-1,0)))+IF(J235="Yes",1,-1)+IF(OR(E235="Trending",E235="Volatile"),1,0))),"")</f>
        <v/>
      </c>
      <c r="M235" s="134" t="n"/>
    </row>
    <row r="236" ht="18" customHeight="1" s="98">
      <c r="A236" s="136" t="n"/>
      <c r="B236" s="136" t="n"/>
      <c r="C236" s="136" t="n"/>
      <c r="D236" s="136" t="n"/>
      <c r="E236" s="136" t="n"/>
      <c r="F236" s="136" t="n"/>
      <c r="G236" s="136" t="n"/>
      <c r="H236" s="136" t="n"/>
      <c r="I236" s="136" t="n"/>
      <c r="J236" s="136" t="n"/>
      <c r="K236" s="136" t="n"/>
      <c r="L236" s="137">
        <f>IFERROR(MAX(1,MIN(10,5+IF(I236&gt;=2,2,IF(I236&gt;=1.5,1,IF(I236&lt;1,-1,0)))+IF(J236="Yes",1,-1)+IF(OR(E236="Trending",E236="Volatile"),1,0))),"")</f>
        <v/>
      </c>
      <c r="M236" s="136" t="n"/>
    </row>
    <row r="237" ht="18" customHeight="1" s="98">
      <c r="A237" s="134" t="n"/>
      <c r="B237" s="134" t="n"/>
      <c r="C237" s="134" t="n"/>
      <c r="D237" s="134" t="n"/>
      <c r="E237" s="134" t="n"/>
      <c r="F237" s="134" t="n"/>
      <c r="G237" s="134" t="n"/>
      <c r="H237" s="134" t="n"/>
      <c r="I237" s="134" t="n"/>
      <c r="J237" s="134" t="n"/>
      <c r="K237" s="134" t="n"/>
      <c r="L237" s="135">
        <f>IFERROR(MAX(1,MIN(10,5+IF(I237&gt;=2,2,IF(I237&gt;=1.5,1,IF(I237&lt;1,-1,0)))+IF(J237="Yes",1,-1)+IF(OR(E237="Trending",E237="Volatile"),1,0))),"")</f>
        <v/>
      </c>
      <c r="M237" s="134" t="n"/>
    </row>
    <row r="238" ht="18" customHeight="1" s="98">
      <c r="A238" s="136" t="n"/>
      <c r="B238" s="136" t="n"/>
      <c r="C238" s="136" t="n"/>
      <c r="D238" s="136" t="n"/>
      <c r="E238" s="136" t="n"/>
      <c r="F238" s="136" t="n"/>
      <c r="G238" s="136" t="n"/>
      <c r="H238" s="136" t="n"/>
      <c r="I238" s="136" t="n"/>
      <c r="J238" s="136" t="n"/>
      <c r="K238" s="136" t="n"/>
      <c r="L238" s="137">
        <f>IFERROR(MAX(1,MIN(10,5+IF(I238&gt;=2,2,IF(I238&gt;=1.5,1,IF(I238&lt;1,-1,0)))+IF(J238="Yes",1,-1)+IF(OR(E238="Trending",E238="Volatile"),1,0))),"")</f>
        <v/>
      </c>
      <c r="M238" s="136" t="n"/>
    </row>
    <row r="239" ht="18" customHeight="1" s="98">
      <c r="A239" s="134" t="n"/>
      <c r="B239" s="134" t="n"/>
      <c r="C239" s="134" t="n"/>
      <c r="D239" s="134" t="n"/>
      <c r="E239" s="134" t="n"/>
      <c r="F239" s="134" t="n"/>
      <c r="G239" s="134" t="n"/>
      <c r="H239" s="134" t="n"/>
      <c r="I239" s="134" t="n"/>
      <c r="J239" s="134" t="n"/>
      <c r="K239" s="134" t="n"/>
      <c r="L239" s="135">
        <f>IFERROR(MAX(1,MIN(10,5+IF(I239&gt;=2,2,IF(I239&gt;=1.5,1,IF(I239&lt;1,-1,0)))+IF(J239="Yes",1,-1)+IF(OR(E239="Trending",E239="Volatile"),1,0))),"")</f>
        <v/>
      </c>
      <c r="M239" s="134" t="n"/>
    </row>
    <row r="240" ht="18" customHeight="1" s="98">
      <c r="A240" s="136" t="n"/>
      <c r="B240" s="136" t="n"/>
      <c r="C240" s="136" t="n"/>
      <c r="D240" s="136" t="n"/>
      <c r="E240" s="136" t="n"/>
      <c r="F240" s="136" t="n"/>
      <c r="G240" s="136" t="n"/>
      <c r="H240" s="136" t="n"/>
      <c r="I240" s="136" t="n"/>
      <c r="J240" s="136" t="n"/>
      <c r="K240" s="136" t="n"/>
      <c r="L240" s="137">
        <f>IFERROR(MAX(1,MIN(10,5+IF(I240&gt;=2,2,IF(I240&gt;=1.5,1,IF(I240&lt;1,-1,0)))+IF(J240="Yes",1,-1)+IF(OR(E240="Trending",E240="Volatile"),1,0))),"")</f>
        <v/>
      </c>
      <c r="M240" s="136" t="n"/>
    </row>
    <row r="241" ht="18" customHeight="1" s="98">
      <c r="A241" s="134" t="n"/>
      <c r="B241" s="134" t="n"/>
      <c r="C241" s="134" t="n"/>
      <c r="D241" s="134" t="n"/>
      <c r="E241" s="134" t="n"/>
      <c r="F241" s="134" t="n"/>
      <c r="G241" s="134" t="n"/>
      <c r="H241" s="134" t="n"/>
      <c r="I241" s="134" t="n"/>
      <c r="J241" s="134" t="n"/>
      <c r="K241" s="134" t="n"/>
      <c r="L241" s="135">
        <f>IFERROR(MAX(1,MIN(10,5+IF(I241&gt;=2,2,IF(I241&gt;=1.5,1,IF(I241&lt;1,-1,0)))+IF(J241="Yes",1,-1)+IF(OR(E241="Trending",E241="Volatile"),1,0))),"")</f>
        <v/>
      </c>
      <c r="M241" s="134" t="n"/>
    </row>
    <row r="242" ht="18" customHeight="1" s="98">
      <c r="A242" s="136" t="n"/>
      <c r="B242" s="136" t="n"/>
      <c r="C242" s="136" t="n"/>
      <c r="D242" s="136" t="n"/>
      <c r="E242" s="136" t="n"/>
      <c r="F242" s="136" t="n"/>
      <c r="G242" s="136" t="n"/>
      <c r="H242" s="136" t="n"/>
      <c r="I242" s="136" t="n"/>
      <c r="J242" s="136" t="n"/>
      <c r="K242" s="136" t="n"/>
      <c r="L242" s="137">
        <f>IFERROR(MAX(1,MIN(10,5+IF(I242&gt;=2,2,IF(I242&gt;=1.5,1,IF(I242&lt;1,-1,0)))+IF(J242="Yes",1,-1)+IF(OR(E242="Trending",E242="Volatile"),1,0))),"")</f>
        <v/>
      </c>
      <c r="M242" s="136" t="n"/>
    </row>
    <row r="243" ht="18" customHeight="1" s="98">
      <c r="A243" s="134" t="n"/>
      <c r="B243" s="134" t="n"/>
      <c r="C243" s="134" t="n"/>
      <c r="D243" s="134" t="n"/>
      <c r="E243" s="134" t="n"/>
      <c r="F243" s="134" t="n"/>
      <c r="G243" s="134" t="n"/>
      <c r="H243" s="134" t="n"/>
      <c r="I243" s="134" t="n"/>
      <c r="J243" s="134" t="n"/>
      <c r="K243" s="134" t="n"/>
      <c r="L243" s="135">
        <f>IFERROR(MAX(1,MIN(10,5+IF(I243&gt;=2,2,IF(I243&gt;=1.5,1,IF(I243&lt;1,-1,0)))+IF(J243="Yes",1,-1)+IF(OR(E243="Trending",E243="Volatile"),1,0))),"")</f>
        <v/>
      </c>
      <c r="M243" s="134" t="n"/>
    </row>
    <row r="244" ht="18" customHeight="1" s="98">
      <c r="A244" s="136" t="n"/>
      <c r="B244" s="136" t="n"/>
      <c r="C244" s="136" t="n"/>
      <c r="D244" s="136" t="n"/>
      <c r="E244" s="136" t="n"/>
      <c r="F244" s="136" t="n"/>
      <c r="G244" s="136" t="n"/>
      <c r="H244" s="136" t="n"/>
      <c r="I244" s="136" t="n"/>
      <c r="J244" s="136" t="n"/>
      <c r="K244" s="136" t="n"/>
      <c r="L244" s="137">
        <f>IFERROR(MAX(1,MIN(10,5+IF(I244&gt;=2,2,IF(I244&gt;=1.5,1,IF(I244&lt;1,-1,0)))+IF(J244="Yes",1,-1)+IF(OR(E244="Trending",E244="Volatile"),1,0))),"")</f>
        <v/>
      </c>
      <c r="M244" s="136" t="n"/>
    </row>
    <row r="245" ht="18" customHeight="1" s="98">
      <c r="A245" s="134" t="n"/>
      <c r="B245" s="134" t="n"/>
      <c r="C245" s="134" t="n"/>
      <c r="D245" s="134" t="n"/>
      <c r="E245" s="134" t="n"/>
      <c r="F245" s="134" t="n"/>
      <c r="G245" s="134" t="n"/>
      <c r="H245" s="134" t="n"/>
      <c r="I245" s="134" t="n"/>
      <c r="J245" s="134" t="n"/>
      <c r="K245" s="134" t="n"/>
      <c r="L245" s="135">
        <f>IFERROR(MAX(1,MIN(10,5+IF(I245&gt;=2,2,IF(I245&gt;=1.5,1,IF(I245&lt;1,-1,0)))+IF(J245="Yes",1,-1)+IF(OR(E245="Trending",E245="Volatile"),1,0))),"")</f>
        <v/>
      </c>
      <c r="M245" s="134" t="n"/>
    </row>
    <row r="246" ht="18" customHeight="1" s="98">
      <c r="A246" s="136" t="n"/>
      <c r="B246" s="136" t="n"/>
      <c r="C246" s="136" t="n"/>
      <c r="D246" s="136" t="n"/>
      <c r="E246" s="136" t="n"/>
      <c r="F246" s="136" t="n"/>
      <c r="G246" s="136" t="n"/>
      <c r="H246" s="136" t="n"/>
      <c r="I246" s="136" t="n"/>
      <c r="J246" s="136" t="n"/>
      <c r="K246" s="136" t="n"/>
      <c r="L246" s="137">
        <f>IFERROR(MAX(1,MIN(10,5+IF(I246&gt;=2,2,IF(I246&gt;=1.5,1,IF(I246&lt;1,-1,0)))+IF(J246="Yes",1,-1)+IF(OR(E246="Trending",E246="Volatile"),1,0))),"")</f>
        <v/>
      </c>
      <c r="M246" s="136" t="n"/>
    </row>
    <row r="247" ht="18" customHeight="1" s="98">
      <c r="A247" s="134" t="n"/>
      <c r="B247" s="134" t="n"/>
      <c r="C247" s="134" t="n"/>
      <c r="D247" s="134" t="n"/>
      <c r="E247" s="134" t="n"/>
      <c r="F247" s="134" t="n"/>
      <c r="G247" s="134" t="n"/>
      <c r="H247" s="134" t="n"/>
      <c r="I247" s="134" t="n"/>
      <c r="J247" s="134" t="n"/>
      <c r="K247" s="134" t="n"/>
      <c r="L247" s="135">
        <f>IFERROR(MAX(1,MIN(10,5+IF(I247&gt;=2,2,IF(I247&gt;=1.5,1,IF(I247&lt;1,-1,0)))+IF(J247="Yes",1,-1)+IF(OR(E247="Trending",E247="Volatile"),1,0))),"")</f>
        <v/>
      </c>
      <c r="M247" s="134" t="n"/>
    </row>
    <row r="248" ht="18" customHeight="1" s="98">
      <c r="A248" s="136" t="n"/>
      <c r="B248" s="136" t="n"/>
      <c r="C248" s="136" t="n"/>
      <c r="D248" s="136" t="n"/>
      <c r="E248" s="136" t="n"/>
      <c r="F248" s="136" t="n"/>
      <c r="G248" s="136" t="n"/>
      <c r="H248" s="136" t="n"/>
      <c r="I248" s="136" t="n"/>
      <c r="J248" s="136" t="n"/>
      <c r="K248" s="136" t="n"/>
      <c r="L248" s="137">
        <f>IFERROR(MAX(1,MIN(10,5+IF(I248&gt;=2,2,IF(I248&gt;=1.5,1,IF(I248&lt;1,-1,0)))+IF(J248="Yes",1,-1)+IF(OR(E248="Trending",E248="Volatile"),1,0))),"")</f>
        <v/>
      </c>
      <c r="M248" s="136" t="n"/>
    </row>
    <row r="249" ht="18" customHeight="1" s="98">
      <c r="A249" s="134" t="n"/>
      <c r="B249" s="134" t="n"/>
      <c r="C249" s="134" t="n"/>
      <c r="D249" s="134" t="n"/>
      <c r="E249" s="134" t="n"/>
      <c r="F249" s="134" t="n"/>
      <c r="G249" s="134" t="n"/>
      <c r="H249" s="134" t="n"/>
      <c r="I249" s="134" t="n"/>
      <c r="J249" s="134" t="n"/>
      <c r="K249" s="134" t="n"/>
      <c r="L249" s="135">
        <f>IFERROR(MAX(1,MIN(10,5+IF(I249&gt;=2,2,IF(I249&gt;=1.5,1,IF(I249&lt;1,-1,0)))+IF(J249="Yes",1,-1)+IF(OR(E249="Trending",E249="Volatile"),1,0))),"")</f>
        <v/>
      </c>
      <c r="M249" s="134" t="n"/>
    </row>
    <row r="250" ht="18" customHeight="1" s="98">
      <c r="A250" s="136" t="n"/>
      <c r="B250" s="136" t="n"/>
      <c r="C250" s="136" t="n"/>
      <c r="D250" s="136" t="n"/>
      <c r="E250" s="136" t="n"/>
      <c r="F250" s="136" t="n"/>
      <c r="G250" s="136" t="n"/>
      <c r="H250" s="136" t="n"/>
      <c r="I250" s="136" t="n"/>
      <c r="J250" s="136" t="n"/>
      <c r="K250" s="136" t="n"/>
      <c r="L250" s="137">
        <f>IFERROR(MAX(1,MIN(10,5+IF(I250&gt;=2,2,IF(I250&gt;=1.5,1,IF(I250&lt;1,-1,0)))+IF(J250="Yes",1,-1)+IF(OR(E250="Trending",E250="Volatile"),1,0))),"")</f>
        <v/>
      </c>
      <c r="M250" s="136" t="n"/>
    </row>
    <row r="251" ht="18" customHeight="1" s="98">
      <c r="A251" s="134" t="n"/>
      <c r="B251" s="134" t="n"/>
      <c r="C251" s="134" t="n"/>
      <c r="D251" s="134" t="n"/>
      <c r="E251" s="134" t="n"/>
      <c r="F251" s="134" t="n"/>
      <c r="G251" s="134" t="n"/>
      <c r="H251" s="134" t="n"/>
      <c r="I251" s="134" t="n"/>
      <c r="J251" s="134" t="n"/>
      <c r="K251" s="134" t="n"/>
      <c r="L251" s="135">
        <f>IFERROR(MAX(1,MIN(10,5+IF(I251&gt;=2,2,IF(I251&gt;=1.5,1,IF(I251&lt;1,-1,0)))+IF(J251="Yes",1,-1)+IF(OR(E251="Trending",E251="Volatile"),1,0))),"")</f>
        <v/>
      </c>
      <c r="M251" s="134" t="n"/>
    </row>
    <row r="252" ht="18" customHeight="1" s="98">
      <c r="A252" s="136" t="n"/>
      <c r="B252" s="136" t="n"/>
      <c r="C252" s="136" t="n"/>
      <c r="D252" s="136" t="n"/>
      <c r="E252" s="136" t="n"/>
      <c r="F252" s="136" t="n"/>
      <c r="G252" s="136" t="n"/>
      <c r="H252" s="136" t="n"/>
      <c r="I252" s="136" t="n"/>
      <c r="J252" s="136" t="n"/>
      <c r="K252" s="136" t="n"/>
      <c r="L252" s="137">
        <f>IFERROR(MAX(1,MIN(10,5+IF(I252&gt;=2,2,IF(I252&gt;=1.5,1,IF(I252&lt;1,-1,0)))+IF(J252="Yes",1,-1)+IF(OR(E252="Trending",E252="Volatile"),1,0))),"")</f>
        <v/>
      </c>
      <c r="M252" s="136" t="n"/>
    </row>
    <row r="253" ht="18" customHeight="1" s="98">
      <c r="A253" s="134" t="n"/>
      <c r="B253" s="134" t="n"/>
      <c r="C253" s="134" t="n"/>
      <c r="D253" s="134" t="n"/>
      <c r="E253" s="134" t="n"/>
      <c r="F253" s="134" t="n"/>
      <c r="G253" s="134" t="n"/>
      <c r="H253" s="134" t="n"/>
      <c r="I253" s="134" t="n"/>
      <c r="J253" s="134" t="n"/>
      <c r="K253" s="134" t="n"/>
      <c r="L253" s="135">
        <f>IFERROR(MAX(1,MIN(10,5+IF(I253&gt;=2,2,IF(I253&gt;=1.5,1,IF(I253&lt;1,-1,0)))+IF(J253="Yes",1,-1)+IF(OR(E253="Trending",E253="Volatile"),1,0))),"")</f>
        <v/>
      </c>
      <c r="M253" s="134" t="n"/>
    </row>
    <row r="254" ht="18" customHeight="1" s="98">
      <c r="A254" s="136" t="n"/>
      <c r="B254" s="136" t="n"/>
      <c r="C254" s="136" t="n"/>
      <c r="D254" s="136" t="n"/>
      <c r="E254" s="136" t="n"/>
      <c r="F254" s="136" t="n"/>
      <c r="G254" s="136" t="n"/>
      <c r="H254" s="136" t="n"/>
      <c r="I254" s="136" t="n"/>
      <c r="J254" s="136" t="n"/>
      <c r="K254" s="136" t="n"/>
      <c r="L254" s="137">
        <f>IFERROR(MAX(1,MIN(10,5+IF(I254&gt;=2,2,IF(I254&gt;=1.5,1,IF(I254&lt;1,-1,0)))+IF(J254="Yes",1,-1)+IF(OR(E254="Trending",E254="Volatile"),1,0))),"")</f>
        <v/>
      </c>
      <c r="M254" s="136" t="n"/>
    </row>
    <row r="255" ht="18" customHeight="1" s="98">
      <c r="A255" s="134" t="n"/>
      <c r="B255" s="134" t="n"/>
      <c r="C255" s="134" t="n"/>
      <c r="D255" s="134" t="n"/>
      <c r="E255" s="134" t="n"/>
      <c r="F255" s="134" t="n"/>
      <c r="G255" s="134" t="n"/>
      <c r="H255" s="134" t="n"/>
      <c r="I255" s="134" t="n"/>
      <c r="J255" s="134" t="n"/>
      <c r="K255" s="134" t="n"/>
      <c r="L255" s="135">
        <f>IFERROR(MAX(1,MIN(10,5+IF(I255&gt;=2,2,IF(I255&gt;=1.5,1,IF(I255&lt;1,-1,0)))+IF(J255="Yes",1,-1)+IF(OR(E255="Trending",E255="Volatile"),1,0))),"")</f>
        <v/>
      </c>
      <c r="M255" s="134" t="n"/>
    </row>
    <row r="256" ht="18" customHeight="1" s="98">
      <c r="A256" s="136" t="n"/>
      <c r="B256" s="136" t="n"/>
      <c r="C256" s="136" t="n"/>
      <c r="D256" s="136" t="n"/>
      <c r="E256" s="136" t="n"/>
      <c r="F256" s="136" t="n"/>
      <c r="G256" s="136" t="n"/>
      <c r="H256" s="136" t="n"/>
      <c r="I256" s="136" t="n"/>
      <c r="J256" s="136" t="n"/>
      <c r="K256" s="136" t="n"/>
      <c r="L256" s="137">
        <f>IFERROR(MAX(1,MIN(10,5+IF(I256&gt;=2,2,IF(I256&gt;=1.5,1,IF(I256&lt;1,-1,0)))+IF(J256="Yes",1,-1)+IF(OR(E256="Trending",E256="Volatile"),1,0))),"")</f>
        <v/>
      </c>
      <c r="M256" s="136" t="n"/>
    </row>
    <row r="257" ht="18" customHeight="1" s="98">
      <c r="A257" s="134" t="n"/>
      <c r="B257" s="134" t="n"/>
      <c r="C257" s="134" t="n"/>
      <c r="D257" s="134" t="n"/>
      <c r="E257" s="134" t="n"/>
      <c r="F257" s="134" t="n"/>
      <c r="G257" s="134" t="n"/>
      <c r="H257" s="134" t="n"/>
      <c r="I257" s="134" t="n"/>
      <c r="J257" s="134" t="n"/>
      <c r="K257" s="134" t="n"/>
      <c r="L257" s="135">
        <f>IFERROR(MAX(1,MIN(10,5+IF(I257&gt;=2,2,IF(I257&gt;=1.5,1,IF(I257&lt;1,-1,0)))+IF(J257="Yes",1,-1)+IF(OR(E257="Trending",E257="Volatile"),1,0))),"")</f>
        <v/>
      </c>
      <c r="M257" s="134" t="n"/>
    </row>
    <row r="258" ht="18" customHeight="1" s="98">
      <c r="A258" s="136" t="n"/>
      <c r="B258" s="136" t="n"/>
      <c r="C258" s="136" t="n"/>
      <c r="D258" s="136" t="n"/>
      <c r="E258" s="136" t="n"/>
      <c r="F258" s="136" t="n"/>
      <c r="G258" s="136" t="n"/>
      <c r="H258" s="136" t="n"/>
      <c r="I258" s="136" t="n"/>
      <c r="J258" s="136" t="n"/>
      <c r="K258" s="136" t="n"/>
      <c r="L258" s="137">
        <f>IFERROR(MAX(1,MIN(10,5+IF(I258&gt;=2,2,IF(I258&gt;=1.5,1,IF(I258&lt;1,-1,0)))+IF(J258="Yes",1,-1)+IF(OR(E258="Trending",E258="Volatile"),1,0))),"")</f>
        <v/>
      </c>
      <c r="M258" s="136" t="n"/>
    </row>
    <row r="259" ht="18" customHeight="1" s="98">
      <c r="A259" s="134" t="n"/>
      <c r="B259" s="134" t="n"/>
      <c r="C259" s="134" t="n"/>
      <c r="D259" s="134" t="n"/>
      <c r="E259" s="134" t="n"/>
      <c r="F259" s="134" t="n"/>
      <c r="G259" s="134" t="n"/>
      <c r="H259" s="134" t="n"/>
      <c r="I259" s="134" t="n"/>
      <c r="J259" s="134" t="n"/>
      <c r="K259" s="134" t="n"/>
      <c r="L259" s="135">
        <f>IFERROR(MAX(1,MIN(10,5+IF(I259&gt;=2,2,IF(I259&gt;=1.5,1,IF(I259&lt;1,-1,0)))+IF(J259="Yes",1,-1)+IF(OR(E259="Trending",E259="Volatile"),1,0))),"")</f>
        <v/>
      </c>
      <c r="M259" s="134" t="n"/>
    </row>
    <row r="260" ht="18" customHeight="1" s="98">
      <c r="A260" s="136" t="n"/>
      <c r="B260" s="136" t="n"/>
      <c r="C260" s="136" t="n"/>
      <c r="D260" s="136" t="n"/>
      <c r="E260" s="136" t="n"/>
      <c r="F260" s="136" t="n"/>
      <c r="G260" s="136" t="n"/>
      <c r="H260" s="136" t="n"/>
      <c r="I260" s="136" t="n"/>
      <c r="J260" s="136" t="n"/>
      <c r="K260" s="136" t="n"/>
      <c r="L260" s="137">
        <f>IFERROR(MAX(1,MIN(10,5+IF(I260&gt;=2,2,IF(I260&gt;=1.5,1,IF(I260&lt;1,-1,0)))+IF(J260="Yes",1,-1)+IF(OR(E260="Trending",E260="Volatile"),1,0))),"")</f>
        <v/>
      </c>
      <c r="M260" s="136" t="n"/>
    </row>
    <row r="261" ht="18" customHeight="1" s="98">
      <c r="A261" s="134" t="n"/>
      <c r="B261" s="134" t="n"/>
      <c r="C261" s="134" t="n"/>
      <c r="D261" s="134" t="n"/>
      <c r="E261" s="134" t="n"/>
      <c r="F261" s="134" t="n"/>
      <c r="G261" s="134" t="n"/>
      <c r="H261" s="134" t="n"/>
      <c r="I261" s="134" t="n"/>
      <c r="J261" s="134" t="n"/>
      <c r="K261" s="134" t="n"/>
      <c r="L261" s="135">
        <f>IFERROR(MAX(1,MIN(10,5+IF(I261&gt;=2,2,IF(I261&gt;=1.5,1,IF(I261&lt;1,-1,0)))+IF(J261="Yes",1,-1)+IF(OR(E261="Trending",E261="Volatile"),1,0))),"")</f>
        <v/>
      </c>
      <c r="M261" s="134" t="n"/>
    </row>
    <row r="262" ht="18" customHeight="1" s="98">
      <c r="A262" s="136" t="n"/>
      <c r="B262" s="136" t="n"/>
      <c r="C262" s="136" t="n"/>
      <c r="D262" s="136" t="n"/>
      <c r="E262" s="136" t="n"/>
      <c r="F262" s="136" t="n"/>
      <c r="G262" s="136" t="n"/>
      <c r="H262" s="136" t="n"/>
      <c r="I262" s="136" t="n"/>
      <c r="J262" s="136" t="n"/>
      <c r="K262" s="136" t="n"/>
      <c r="L262" s="137">
        <f>IFERROR(MAX(1,MIN(10,5+IF(I262&gt;=2,2,IF(I262&gt;=1.5,1,IF(I262&lt;1,-1,0)))+IF(J262="Yes",1,-1)+IF(OR(E262="Trending",E262="Volatile"),1,0))),"")</f>
        <v/>
      </c>
      <c r="M262" s="136" t="n"/>
    </row>
    <row r="263" ht="18" customHeight="1" s="98">
      <c r="A263" s="134" t="n"/>
      <c r="B263" s="134" t="n"/>
      <c r="C263" s="134" t="n"/>
      <c r="D263" s="134" t="n"/>
      <c r="E263" s="134" t="n"/>
      <c r="F263" s="134" t="n"/>
      <c r="G263" s="134" t="n"/>
      <c r="H263" s="134" t="n"/>
      <c r="I263" s="134" t="n"/>
      <c r="J263" s="134" t="n"/>
      <c r="K263" s="134" t="n"/>
      <c r="L263" s="135">
        <f>IFERROR(MAX(1,MIN(10,5+IF(I263&gt;=2,2,IF(I263&gt;=1.5,1,IF(I263&lt;1,-1,0)))+IF(J263="Yes",1,-1)+IF(OR(E263="Trending",E263="Volatile"),1,0))),"")</f>
        <v/>
      </c>
      <c r="M263" s="134" t="n"/>
    </row>
    <row r="264" ht="18" customHeight="1" s="98">
      <c r="A264" s="136" t="n"/>
      <c r="B264" s="136" t="n"/>
      <c r="C264" s="136" t="n"/>
      <c r="D264" s="136" t="n"/>
      <c r="E264" s="136" t="n"/>
      <c r="F264" s="136" t="n"/>
      <c r="G264" s="136" t="n"/>
      <c r="H264" s="136" t="n"/>
      <c r="I264" s="136" t="n"/>
      <c r="J264" s="136" t="n"/>
      <c r="K264" s="136" t="n"/>
      <c r="L264" s="137">
        <f>IFERROR(MAX(1,MIN(10,5+IF(I264&gt;=2,2,IF(I264&gt;=1.5,1,IF(I264&lt;1,-1,0)))+IF(J264="Yes",1,-1)+IF(OR(E264="Trending",E264="Volatile"),1,0))),"")</f>
        <v/>
      </c>
      <c r="M264" s="136" t="n"/>
    </row>
    <row r="265" ht="18" customHeight="1" s="98">
      <c r="A265" s="134" t="n"/>
      <c r="B265" s="134" t="n"/>
      <c r="C265" s="134" t="n"/>
      <c r="D265" s="134" t="n"/>
      <c r="E265" s="134" t="n"/>
      <c r="F265" s="134" t="n"/>
      <c r="G265" s="134" t="n"/>
      <c r="H265" s="134" t="n"/>
      <c r="I265" s="134" t="n"/>
      <c r="J265" s="134" t="n"/>
      <c r="K265" s="134" t="n"/>
      <c r="L265" s="135">
        <f>IFERROR(MAX(1,MIN(10,5+IF(I265&gt;=2,2,IF(I265&gt;=1.5,1,IF(I265&lt;1,-1,0)))+IF(J265="Yes",1,-1)+IF(OR(E265="Trending",E265="Volatile"),1,0))),"")</f>
        <v/>
      </c>
      <c r="M265" s="134" t="n"/>
    </row>
    <row r="266" ht="18" customHeight="1" s="98">
      <c r="A266" s="136" t="n"/>
      <c r="B266" s="136" t="n"/>
      <c r="C266" s="136" t="n"/>
      <c r="D266" s="136" t="n"/>
      <c r="E266" s="136" t="n"/>
      <c r="F266" s="136" t="n"/>
      <c r="G266" s="136" t="n"/>
      <c r="H266" s="136" t="n"/>
      <c r="I266" s="136" t="n"/>
      <c r="J266" s="136" t="n"/>
      <c r="K266" s="136" t="n"/>
      <c r="L266" s="137">
        <f>IFERROR(MAX(1,MIN(10,5+IF(I266&gt;=2,2,IF(I266&gt;=1.5,1,IF(I266&lt;1,-1,0)))+IF(J266="Yes",1,-1)+IF(OR(E266="Trending",E266="Volatile"),1,0))),"")</f>
        <v/>
      </c>
      <c r="M266" s="136" t="n"/>
    </row>
    <row r="267" ht="18" customHeight="1" s="98">
      <c r="A267" s="134" t="n"/>
      <c r="B267" s="134" t="n"/>
      <c r="C267" s="134" t="n"/>
      <c r="D267" s="134" t="n"/>
      <c r="E267" s="134" t="n"/>
      <c r="F267" s="134" t="n"/>
      <c r="G267" s="134" t="n"/>
      <c r="H267" s="134" t="n"/>
      <c r="I267" s="134" t="n"/>
      <c r="J267" s="134" t="n"/>
      <c r="K267" s="134" t="n"/>
      <c r="L267" s="135">
        <f>IFERROR(MAX(1,MIN(10,5+IF(I267&gt;=2,2,IF(I267&gt;=1.5,1,IF(I267&lt;1,-1,0)))+IF(J267="Yes",1,-1)+IF(OR(E267="Trending",E267="Volatile"),1,0))),"")</f>
        <v/>
      </c>
      <c r="M267" s="134" t="n"/>
    </row>
    <row r="268" ht="18" customHeight="1" s="98">
      <c r="A268" s="136" t="n"/>
      <c r="B268" s="136" t="n"/>
      <c r="C268" s="136" t="n"/>
      <c r="D268" s="136" t="n"/>
      <c r="E268" s="136" t="n"/>
      <c r="F268" s="136" t="n"/>
      <c r="G268" s="136" t="n"/>
      <c r="H268" s="136" t="n"/>
      <c r="I268" s="136" t="n"/>
      <c r="J268" s="136" t="n"/>
      <c r="K268" s="136" t="n"/>
      <c r="L268" s="137">
        <f>IFERROR(MAX(1,MIN(10,5+IF(I268&gt;=2,2,IF(I268&gt;=1.5,1,IF(I268&lt;1,-1,0)))+IF(J268="Yes",1,-1)+IF(OR(E268="Trending",E268="Volatile"),1,0))),"")</f>
        <v/>
      </c>
      <c r="M268" s="136" t="n"/>
    </row>
    <row r="269" ht="18" customHeight="1" s="98">
      <c r="A269" s="134" t="n"/>
      <c r="B269" s="134" t="n"/>
      <c r="C269" s="134" t="n"/>
      <c r="D269" s="134" t="n"/>
      <c r="E269" s="134" t="n"/>
      <c r="F269" s="134" t="n"/>
      <c r="G269" s="134" t="n"/>
      <c r="H269" s="134" t="n"/>
      <c r="I269" s="134" t="n"/>
      <c r="J269" s="134" t="n"/>
      <c r="K269" s="134" t="n"/>
      <c r="L269" s="135">
        <f>IFERROR(MAX(1,MIN(10,5+IF(I269&gt;=2,2,IF(I269&gt;=1.5,1,IF(I269&lt;1,-1,0)))+IF(J269="Yes",1,-1)+IF(OR(E269="Trending",E269="Volatile"),1,0))),"")</f>
        <v/>
      </c>
      <c r="M269" s="134" t="n"/>
    </row>
    <row r="270" ht="18" customHeight="1" s="98">
      <c r="A270" s="136" t="n"/>
      <c r="B270" s="136" t="n"/>
      <c r="C270" s="136" t="n"/>
      <c r="D270" s="136" t="n"/>
      <c r="E270" s="136" t="n"/>
      <c r="F270" s="136" t="n"/>
      <c r="G270" s="136" t="n"/>
      <c r="H270" s="136" t="n"/>
      <c r="I270" s="136" t="n"/>
      <c r="J270" s="136" t="n"/>
      <c r="K270" s="136" t="n"/>
      <c r="L270" s="137">
        <f>IFERROR(MAX(1,MIN(10,5+IF(I270&gt;=2,2,IF(I270&gt;=1.5,1,IF(I270&lt;1,-1,0)))+IF(J270="Yes",1,-1)+IF(OR(E270="Trending",E270="Volatile"),1,0))),"")</f>
        <v/>
      </c>
      <c r="M270" s="136" t="n"/>
    </row>
    <row r="271" ht="18" customHeight="1" s="98">
      <c r="A271" s="134" t="n"/>
      <c r="B271" s="134" t="n"/>
      <c r="C271" s="134" t="n"/>
      <c r="D271" s="134" t="n"/>
      <c r="E271" s="134" t="n"/>
      <c r="F271" s="134" t="n"/>
      <c r="G271" s="134" t="n"/>
      <c r="H271" s="134" t="n"/>
      <c r="I271" s="134" t="n"/>
      <c r="J271" s="134" t="n"/>
      <c r="K271" s="134" t="n"/>
      <c r="L271" s="135">
        <f>IFERROR(MAX(1,MIN(10,5+IF(I271&gt;=2,2,IF(I271&gt;=1.5,1,IF(I271&lt;1,-1,0)))+IF(J271="Yes",1,-1)+IF(OR(E271="Trending",E271="Volatile"),1,0))),"")</f>
        <v/>
      </c>
      <c r="M271" s="134" t="n"/>
    </row>
    <row r="272" ht="18" customHeight="1" s="98">
      <c r="A272" s="136" t="n"/>
      <c r="B272" s="136" t="n"/>
      <c r="C272" s="136" t="n"/>
      <c r="D272" s="136" t="n"/>
      <c r="E272" s="136" t="n"/>
      <c r="F272" s="136" t="n"/>
      <c r="G272" s="136" t="n"/>
      <c r="H272" s="136" t="n"/>
      <c r="I272" s="136" t="n"/>
      <c r="J272" s="136" t="n"/>
      <c r="K272" s="136" t="n"/>
      <c r="L272" s="137">
        <f>IFERROR(MAX(1,MIN(10,5+IF(I272&gt;=2,2,IF(I272&gt;=1.5,1,IF(I272&lt;1,-1,0)))+IF(J272="Yes",1,-1)+IF(OR(E272="Trending",E272="Volatile"),1,0))),"")</f>
        <v/>
      </c>
      <c r="M272" s="136" t="n"/>
    </row>
    <row r="273" ht="18" customHeight="1" s="98">
      <c r="A273" s="134" t="n"/>
      <c r="B273" s="134" t="n"/>
      <c r="C273" s="134" t="n"/>
      <c r="D273" s="134" t="n"/>
      <c r="E273" s="134" t="n"/>
      <c r="F273" s="134" t="n"/>
      <c r="G273" s="134" t="n"/>
      <c r="H273" s="134" t="n"/>
      <c r="I273" s="134" t="n"/>
      <c r="J273" s="134" t="n"/>
      <c r="K273" s="134" t="n"/>
      <c r="L273" s="135">
        <f>IFERROR(MAX(1,MIN(10,5+IF(I273&gt;=2,2,IF(I273&gt;=1.5,1,IF(I273&lt;1,-1,0)))+IF(J273="Yes",1,-1)+IF(OR(E273="Trending",E273="Volatile"),1,0))),"")</f>
        <v/>
      </c>
      <c r="M273" s="134" t="n"/>
    </row>
    <row r="274" ht="18" customHeight="1" s="98">
      <c r="A274" s="136" t="n"/>
      <c r="B274" s="136" t="n"/>
      <c r="C274" s="136" t="n"/>
      <c r="D274" s="136" t="n"/>
      <c r="E274" s="136" t="n"/>
      <c r="F274" s="136" t="n"/>
      <c r="G274" s="136" t="n"/>
      <c r="H274" s="136" t="n"/>
      <c r="I274" s="136" t="n"/>
      <c r="J274" s="136" t="n"/>
      <c r="K274" s="136" t="n"/>
      <c r="L274" s="137">
        <f>IFERROR(MAX(1,MIN(10,5+IF(I274&gt;=2,2,IF(I274&gt;=1.5,1,IF(I274&lt;1,-1,0)))+IF(J274="Yes",1,-1)+IF(OR(E274="Trending",E274="Volatile"),1,0))),"")</f>
        <v/>
      </c>
      <c r="M274" s="136" t="n"/>
    </row>
    <row r="275" ht="18" customHeight="1" s="98">
      <c r="A275" s="134" t="n"/>
      <c r="B275" s="134" t="n"/>
      <c r="C275" s="134" t="n"/>
      <c r="D275" s="134" t="n"/>
      <c r="E275" s="134" t="n"/>
      <c r="F275" s="134" t="n"/>
      <c r="G275" s="134" t="n"/>
      <c r="H275" s="134" t="n"/>
      <c r="I275" s="134" t="n"/>
      <c r="J275" s="134" t="n"/>
      <c r="K275" s="134" t="n"/>
      <c r="L275" s="135">
        <f>IFERROR(MAX(1,MIN(10,5+IF(I275&gt;=2,2,IF(I275&gt;=1.5,1,IF(I275&lt;1,-1,0)))+IF(J275="Yes",1,-1)+IF(OR(E275="Trending",E275="Volatile"),1,0))),"")</f>
        <v/>
      </c>
      <c r="M275" s="134" t="n"/>
    </row>
    <row r="276" ht="18" customHeight="1" s="98">
      <c r="A276" s="136" t="n"/>
      <c r="B276" s="136" t="n"/>
      <c r="C276" s="136" t="n"/>
      <c r="D276" s="136" t="n"/>
      <c r="E276" s="136" t="n"/>
      <c r="F276" s="136" t="n"/>
      <c r="G276" s="136" t="n"/>
      <c r="H276" s="136" t="n"/>
      <c r="I276" s="136" t="n"/>
      <c r="J276" s="136" t="n"/>
      <c r="K276" s="136" t="n"/>
      <c r="L276" s="137">
        <f>IFERROR(MAX(1,MIN(10,5+IF(I276&gt;=2,2,IF(I276&gt;=1.5,1,IF(I276&lt;1,-1,0)))+IF(J276="Yes",1,-1)+IF(OR(E276="Trending",E276="Volatile"),1,0))),"")</f>
        <v/>
      </c>
      <c r="M276" s="136" t="n"/>
    </row>
    <row r="277" ht="18" customHeight="1" s="98">
      <c r="A277" s="134" t="n"/>
      <c r="B277" s="134" t="n"/>
      <c r="C277" s="134" t="n"/>
      <c r="D277" s="134" t="n"/>
      <c r="E277" s="134" t="n"/>
      <c r="F277" s="134" t="n"/>
      <c r="G277" s="134" t="n"/>
      <c r="H277" s="134" t="n"/>
      <c r="I277" s="134" t="n"/>
      <c r="J277" s="134" t="n"/>
      <c r="K277" s="134" t="n"/>
      <c r="L277" s="135">
        <f>IFERROR(MAX(1,MIN(10,5+IF(I277&gt;=2,2,IF(I277&gt;=1.5,1,IF(I277&lt;1,-1,0)))+IF(J277="Yes",1,-1)+IF(OR(E277="Trending",E277="Volatile"),1,0))),"")</f>
        <v/>
      </c>
      <c r="M277" s="134" t="n"/>
    </row>
    <row r="278" ht="18" customHeight="1" s="98">
      <c r="A278" s="136" t="n"/>
      <c r="B278" s="136" t="n"/>
      <c r="C278" s="136" t="n"/>
      <c r="D278" s="136" t="n"/>
      <c r="E278" s="136" t="n"/>
      <c r="F278" s="136" t="n"/>
      <c r="G278" s="136" t="n"/>
      <c r="H278" s="136" t="n"/>
      <c r="I278" s="136" t="n"/>
      <c r="J278" s="136" t="n"/>
      <c r="K278" s="136" t="n"/>
      <c r="L278" s="137">
        <f>IFERROR(MAX(1,MIN(10,5+IF(I278&gt;=2,2,IF(I278&gt;=1.5,1,IF(I278&lt;1,-1,0)))+IF(J278="Yes",1,-1)+IF(OR(E278="Trending",E278="Volatile"),1,0))),"")</f>
        <v/>
      </c>
      <c r="M278" s="136" t="n"/>
    </row>
    <row r="279" ht="18" customHeight="1" s="98">
      <c r="A279" s="134" t="n"/>
      <c r="B279" s="134" t="n"/>
      <c r="C279" s="134" t="n"/>
      <c r="D279" s="134" t="n"/>
      <c r="E279" s="134" t="n"/>
      <c r="F279" s="134" t="n"/>
      <c r="G279" s="134" t="n"/>
      <c r="H279" s="134" t="n"/>
      <c r="I279" s="134" t="n"/>
      <c r="J279" s="134" t="n"/>
      <c r="K279" s="134" t="n"/>
      <c r="L279" s="135">
        <f>IFERROR(MAX(1,MIN(10,5+IF(I279&gt;=2,2,IF(I279&gt;=1.5,1,IF(I279&lt;1,-1,0)))+IF(J279="Yes",1,-1)+IF(OR(E279="Trending",E279="Volatile"),1,0))),"")</f>
        <v/>
      </c>
      <c r="M279" s="134" t="n"/>
    </row>
    <row r="280" ht="18" customHeight="1" s="98">
      <c r="A280" s="136" t="n"/>
      <c r="B280" s="136" t="n"/>
      <c r="C280" s="136" t="n"/>
      <c r="D280" s="136" t="n"/>
      <c r="E280" s="136" t="n"/>
      <c r="F280" s="136" t="n"/>
      <c r="G280" s="136" t="n"/>
      <c r="H280" s="136" t="n"/>
      <c r="I280" s="136" t="n"/>
      <c r="J280" s="136" t="n"/>
      <c r="K280" s="136" t="n"/>
      <c r="L280" s="137">
        <f>IFERROR(MAX(1,MIN(10,5+IF(I280&gt;=2,2,IF(I280&gt;=1.5,1,IF(I280&lt;1,-1,0)))+IF(J280="Yes",1,-1)+IF(OR(E280="Trending",E280="Volatile"),1,0))),"")</f>
        <v/>
      </c>
      <c r="M280" s="136" t="n"/>
    </row>
    <row r="281" ht="18" customHeight="1" s="98">
      <c r="A281" s="134" t="n"/>
      <c r="B281" s="134" t="n"/>
      <c r="C281" s="134" t="n"/>
      <c r="D281" s="134" t="n"/>
      <c r="E281" s="134" t="n"/>
      <c r="F281" s="134" t="n"/>
      <c r="G281" s="134" t="n"/>
      <c r="H281" s="134" t="n"/>
      <c r="I281" s="134" t="n"/>
      <c r="J281" s="134" t="n"/>
      <c r="K281" s="134" t="n"/>
      <c r="L281" s="135">
        <f>IFERROR(MAX(1,MIN(10,5+IF(I281&gt;=2,2,IF(I281&gt;=1.5,1,IF(I281&lt;1,-1,0)))+IF(J281="Yes",1,-1)+IF(OR(E281="Trending",E281="Volatile"),1,0))),"")</f>
        <v/>
      </c>
      <c r="M281" s="134" t="n"/>
    </row>
    <row r="282" ht="18" customHeight="1" s="98">
      <c r="A282" s="136" t="n"/>
      <c r="B282" s="136" t="n"/>
      <c r="C282" s="136" t="n"/>
      <c r="D282" s="136" t="n"/>
      <c r="E282" s="136" t="n"/>
      <c r="F282" s="136" t="n"/>
      <c r="G282" s="136" t="n"/>
      <c r="H282" s="136" t="n"/>
      <c r="I282" s="136" t="n"/>
      <c r="J282" s="136" t="n"/>
      <c r="K282" s="136" t="n"/>
      <c r="L282" s="137">
        <f>IFERROR(MAX(1,MIN(10,5+IF(I282&gt;=2,2,IF(I282&gt;=1.5,1,IF(I282&lt;1,-1,0)))+IF(J282="Yes",1,-1)+IF(OR(E282="Trending",E282="Volatile"),1,0))),"")</f>
        <v/>
      </c>
      <c r="M282" s="136" t="n"/>
    </row>
    <row r="283" ht="18" customHeight="1" s="98">
      <c r="A283" s="134" t="n"/>
      <c r="B283" s="134" t="n"/>
      <c r="C283" s="134" t="n"/>
      <c r="D283" s="134" t="n"/>
      <c r="E283" s="134" t="n"/>
      <c r="F283" s="134" t="n"/>
      <c r="G283" s="134" t="n"/>
      <c r="H283" s="134" t="n"/>
      <c r="I283" s="134" t="n"/>
      <c r="J283" s="134" t="n"/>
      <c r="K283" s="134" t="n"/>
      <c r="L283" s="135">
        <f>IFERROR(MAX(1,MIN(10,5+IF(I283&gt;=2,2,IF(I283&gt;=1.5,1,IF(I283&lt;1,-1,0)))+IF(J283="Yes",1,-1)+IF(OR(E283="Trending",E283="Volatile"),1,0))),"")</f>
        <v/>
      </c>
      <c r="M283" s="134" t="n"/>
    </row>
    <row r="284" ht="18" customHeight="1" s="98">
      <c r="A284" s="136" t="n"/>
      <c r="B284" s="136" t="n"/>
      <c r="C284" s="136" t="n"/>
      <c r="D284" s="136" t="n"/>
      <c r="E284" s="136" t="n"/>
      <c r="F284" s="136" t="n"/>
      <c r="G284" s="136" t="n"/>
      <c r="H284" s="136" t="n"/>
      <c r="I284" s="136" t="n"/>
      <c r="J284" s="136" t="n"/>
      <c r="K284" s="136" t="n"/>
      <c r="L284" s="137">
        <f>IFERROR(MAX(1,MIN(10,5+IF(I284&gt;=2,2,IF(I284&gt;=1.5,1,IF(I284&lt;1,-1,0)))+IF(J284="Yes",1,-1)+IF(OR(E284="Trending",E284="Volatile"),1,0))),"")</f>
        <v/>
      </c>
      <c r="M284" s="136" t="n"/>
    </row>
    <row r="285" ht="18" customHeight="1" s="98">
      <c r="A285" s="134" t="n"/>
      <c r="B285" s="134" t="n"/>
      <c r="C285" s="134" t="n"/>
      <c r="D285" s="134" t="n"/>
      <c r="E285" s="134" t="n"/>
      <c r="F285" s="134" t="n"/>
      <c r="G285" s="134" t="n"/>
      <c r="H285" s="134" t="n"/>
      <c r="I285" s="134" t="n"/>
      <c r="J285" s="134" t="n"/>
      <c r="K285" s="134" t="n"/>
      <c r="L285" s="135">
        <f>IFERROR(MAX(1,MIN(10,5+IF(I285&gt;=2,2,IF(I285&gt;=1.5,1,IF(I285&lt;1,-1,0)))+IF(J285="Yes",1,-1)+IF(OR(E285="Trending",E285="Volatile"),1,0))),"")</f>
        <v/>
      </c>
      <c r="M285" s="134" t="n"/>
    </row>
    <row r="286" ht="18" customHeight="1" s="98">
      <c r="A286" s="136" t="n"/>
      <c r="B286" s="136" t="n"/>
      <c r="C286" s="136" t="n"/>
      <c r="D286" s="136" t="n"/>
      <c r="E286" s="136" t="n"/>
      <c r="F286" s="136" t="n"/>
      <c r="G286" s="136" t="n"/>
      <c r="H286" s="136" t="n"/>
      <c r="I286" s="136" t="n"/>
      <c r="J286" s="136" t="n"/>
      <c r="K286" s="136" t="n"/>
      <c r="L286" s="137">
        <f>IFERROR(MAX(1,MIN(10,5+IF(I286&gt;=2,2,IF(I286&gt;=1.5,1,IF(I286&lt;1,-1,0)))+IF(J286="Yes",1,-1)+IF(OR(E286="Trending",E286="Volatile"),1,0))),"")</f>
        <v/>
      </c>
      <c r="M286" s="136" t="n"/>
    </row>
    <row r="287" ht="18" customHeight="1" s="98">
      <c r="A287" s="134" t="n"/>
      <c r="B287" s="134" t="n"/>
      <c r="C287" s="134" t="n"/>
      <c r="D287" s="134" t="n"/>
      <c r="E287" s="134" t="n"/>
      <c r="F287" s="134" t="n"/>
      <c r="G287" s="134" t="n"/>
      <c r="H287" s="134" t="n"/>
      <c r="I287" s="134" t="n"/>
      <c r="J287" s="134" t="n"/>
      <c r="K287" s="134" t="n"/>
      <c r="L287" s="135">
        <f>IFERROR(MAX(1,MIN(10,5+IF(I287&gt;=2,2,IF(I287&gt;=1.5,1,IF(I287&lt;1,-1,0)))+IF(J287="Yes",1,-1)+IF(OR(E287="Trending",E287="Volatile"),1,0))),"")</f>
        <v/>
      </c>
      <c r="M287" s="134" t="n"/>
    </row>
    <row r="288" ht="18" customHeight="1" s="98">
      <c r="A288" s="136" t="n"/>
      <c r="B288" s="136" t="n"/>
      <c r="C288" s="136" t="n"/>
      <c r="D288" s="136" t="n"/>
      <c r="E288" s="136" t="n"/>
      <c r="F288" s="136" t="n"/>
      <c r="G288" s="136" t="n"/>
      <c r="H288" s="136" t="n"/>
      <c r="I288" s="136" t="n"/>
      <c r="J288" s="136" t="n"/>
      <c r="K288" s="136" t="n"/>
      <c r="L288" s="137">
        <f>IFERROR(MAX(1,MIN(10,5+IF(I288&gt;=2,2,IF(I288&gt;=1.5,1,IF(I288&lt;1,-1,0)))+IF(J288="Yes",1,-1)+IF(OR(E288="Trending",E288="Volatile"),1,0))),"")</f>
        <v/>
      </c>
      <c r="M288" s="136" t="n"/>
    </row>
    <row r="289" ht="18" customHeight="1" s="98">
      <c r="A289" s="134" t="n"/>
      <c r="B289" s="134" t="n"/>
      <c r="C289" s="134" t="n"/>
      <c r="D289" s="134" t="n"/>
      <c r="E289" s="134" t="n"/>
      <c r="F289" s="134" t="n"/>
      <c r="G289" s="134" t="n"/>
      <c r="H289" s="134" t="n"/>
      <c r="I289" s="134" t="n"/>
      <c r="J289" s="134" t="n"/>
      <c r="K289" s="134" t="n"/>
      <c r="L289" s="135">
        <f>IFERROR(MAX(1,MIN(10,5+IF(I289&gt;=2,2,IF(I289&gt;=1.5,1,IF(I289&lt;1,-1,0)))+IF(J289="Yes",1,-1)+IF(OR(E289="Trending",E289="Volatile"),1,0))),"")</f>
        <v/>
      </c>
      <c r="M289" s="134" t="n"/>
    </row>
    <row r="290" ht="18" customHeight="1" s="98">
      <c r="A290" s="136" t="n"/>
      <c r="B290" s="136" t="n"/>
      <c r="C290" s="136" t="n"/>
      <c r="D290" s="136" t="n"/>
      <c r="E290" s="136" t="n"/>
      <c r="F290" s="136" t="n"/>
      <c r="G290" s="136" t="n"/>
      <c r="H290" s="136" t="n"/>
      <c r="I290" s="136" t="n"/>
      <c r="J290" s="136" t="n"/>
      <c r="K290" s="136" t="n"/>
      <c r="L290" s="137">
        <f>IFERROR(MAX(1,MIN(10,5+IF(I290&gt;=2,2,IF(I290&gt;=1.5,1,IF(I290&lt;1,-1,0)))+IF(J290="Yes",1,-1)+IF(OR(E290="Trending",E290="Volatile"),1,0))),"")</f>
        <v/>
      </c>
      <c r="M290" s="136" t="n"/>
    </row>
    <row r="291" ht="18" customHeight="1" s="98">
      <c r="A291" s="134" t="n"/>
      <c r="B291" s="134" t="n"/>
      <c r="C291" s="134" t="n"/>
      <c r="D291" s="134" t="n"/>
      <c r="E291" s="134" t="n"/>
      <c r="F291" s="134" t="n"/>
      <c r="G291" s="134" t="n"/>
      <c r="H291" s="134" t="n"/>
      <c r="I291" s="134" t="n"/>
      <c r="J291" s="134" t="n"/>
      <c r="K291" s="134" t="n"/>
      <c r="L291" s="135">
        <f>IFERROR(MAX(1,MIN(10,5+IF(I291&gt;=2,2,IF(I291&gt;=1.5,1,IF(I291&lt;1,-1,0)))+IF(J291="Yes",1,-1)+IF(OR(E291="Trending",E291="Volatile"),1,0))),"")</f>
        <v/>
      </c>
      <c r="M291" s="134" t="n"/>
    </row>
    <row r="292" ht="18" customHeight="1" s="98">
      <c r="A292" s="136" t="n"/>
      <c r="B292" s="136" t="n"/>
      <c r="C292" s="136" t="n"/>
      <c r="D292" s="136" t="n"/>
      <c r="E292" s="136" t="n"/>
      <c r="F292" s="136" t="n"/>
      <c r="G292" s="136" t="n"/>
      <c r="H292" s="136" t="n"/>
      <c r="I292" s="136" t="n"/>
      <c r="J292" s="136" t="n"/>
      <c r="K292" s="136" t="n"/>
      <c r="L292" s="137">
        <f>IFERROR(MAX(1,MIN(10,5+IF(I292&gt;=2,2,IF(I292&gt;=1.5,1,IF(I292&lt;1,-1,0)))+IF(J292="Yes",1,-1)+IF(OR(E292="Trending",E292="Volatile"),1,0))),"")</f>
        <v/>
      </c>
      <c r="M292" s="136" t="n"/>
    </row>
    <row r="293" ht="18" customHeight="1" s="98">
      <c r="A293" s="134" t="n"/>
      <c r="B293" s="134" t="n"/>
      <c r="C293" s="134" t="n"/>
      <c r="D293" s="134" t="n"/>
      <c r="E293" s="134" t="n"/>
      <c r="F293" s="134" t="n"/>
      <c r="G293" s="134" t="n"/>
      <c r="H293" s="134" t="n"/>
      <c r="I293" s="134" t="n"/>
      <c r="J293" s="134" t="n"/>
      <c r="K293" s="134" t="n"/>
      <c r="L293" s="135">
        <f>IFERROR(MAX(1,MIN(10,5+IF(I293&gt;=2,2,IF(I293&gt;=1.5,1,IF(I293&lt;1,-1,0)))+IF(J293="Yes",1,-1)+IF(OR(E293="Trending",E293="Volatile"),1,0))),"")</f>
        <v/>
      </c>
      <c r="M293" s="134" t="n"/>
    </row>
    <row r="294" ht="18" customHeight="1" s="98">
      <c r="A294" s="136" t="n"/>
      <c r="B294" s="136" t="n"/>
      <c r="C294" s="136" t="n"/>
      <c r="D294" s="136" t="n"/>
      <c r="E294" s="136" t="n"/>
      <c r="F294" s="136" t="n"/>
      <c r="G294" s="136" t="n"/>
      <c r="H294" s="136" t="n"/>
      <c r="I294" s="136" t="n"/>
      <c r="J294" s="136" t="n"/>
      <c r="K294" s="136" t="n"/>
      <c r="L294" s="137">
        <f>IFERROR(MAX(1,MIN(10,5+IF(I294&gt;=2,2,IF(I294&gt;=1.5,1,IF(I294&lt;1,-1,0)))+IF(J294="Yes",1,-1)+IF(OR(E294="Trending",E294="Volatile"),1,0))),"")</f>
        <v/>
      </c>
      <c r="M294" s="136" t="n"/>
    </row>
    <row r="295" ht="18" customHeight="1" s="98">
      <c r="A295" s="134" t="n"/>
      <c r="B295" s="134" t="n"/>
      <c r="C295" s="134" t="n"/>
      <c r="D295" s="134" t="n"/>
      <c r="E295" s="134" t="n"/>
      <c r="F295" s="134" t="n"/>
      <c r="G295" s="134" t="n"/>
      <c r="H295" s="134" t="n"/>
      <c r="I295" s="134" t="n"/>
      <c r="J295" s="134" t="n"/>
      <c r="K295" s="134" t="n"/>
      <c r="L295" s="135">
        <f>IFERROR(MAX(1,MIN(10,5+IF(I295&gt;=2,2,IF(I295&gt;=1.5,1,IF(I295&lt;1,-1,0)))+IF(J295="Yes",1,-1)+IF(OR(E295="Trending",E295="Volatile"),1,0))),"")</f>
        <v/>
      </c>
      <c r="M295" s="134" t="n"/>
    </row>
    <row r="296" ht="18" customHeight="1" s="98">
      <c r="A296" s="136" t="n"/>
      <c r="B296" s="136" t="n"/>
      <c r="C296" s="136" t="n"/>
      <c r="D296" s="136" t="n"/>
      <c r="E296" s="136" t="n"/>
      <c r="F296" s="136" t="n"/>
      <c r="G296" s="136" t="n"/>
      <c r="H296" s="136" t="n"/>
      <c r="I296" s="136" t="n"/>
      <c r="J296" s="136" t="n"/>
      <c r="K296" s="136" t="n"/>
      <c r="L296" s="137">
        <f>IFERROR(MAX(1,MIN(10,5+IF(I296&gt;=2,2,IF(I296&gt;=1.5,1,IF(I296&lt;1,-1,0)))+IF(J296="Yes",1,-1)+IF(OR(E296="Trending",E296="Volatile"),1,0))),"")</f>
        <v/>
      </c>
      <c r="M296" s="136" t="n"/>
    </row>
    <row r="297" ht="18" customHeight="1" s="98">
      <c r="A297" s="134" t="n"/>
      <c r="B297" s="134" t="n"/>
      <c r="C297" s="134" t="n"/>
      <c r="D297" s="134" t="n"/>
      <c r="E297" s="134" t="n"/>
      <c r="F297" s="134" t="n"/>
      <c r="G297" s="134" t="n"/>
      <c r="H297" s="134" t="n"/>
      <c r="I297" s="134" t="n"/>
      <c r="J297" s="134" t="n"/>
      <c r="K297" s="134" t="n"/>
      <c r="L297" s="135">
        <f>IFERROR(MAX(1,MIN(10,5+IF(I297&gt;=2,2,IF(I297&gt;=1.5,1,IF(I297&lt;1,-1,0)))+IF(J297="Yes",1,-1)+IF(OR(E297="Trending",E297="Volatile"),1,0))),"")</f>
        <v/>
      </c>
      <c r="M297" s="134" t="n"/>
    </row>
    <row r="298" ht="18" customHeight="1" s="98">
      <c r="A298" s="136" t="n"/>
      <c r="B298" s="136" t="n"/>
      <c r="C298" s="136" t="n"/>
      <c r="D298" s="136" t="n"/>
      <c r="E298" s="136" t="n"/>
      <c r="F298" s="136" t="n"/>
      <c r="G298" s="136" t="n"/>
      <c r="H298" s="136" t="n"/>
      <c r="I298" s="136" t="n"/>
      <c r="J298" s="136" t="n"/>
      <c r="K298" s="136" t="n"/>
      <c r="L298" s="137">
        <f>IFERROR(MAX(1,MIN(10,5+IF(I298&gt;=2,2,IF(I298&gt;=1.5,1,IF(I298&lt;1,-1,0)))+IF(J298="Yes",1,-1)+IF(OR(E298="Trending",E298="Volatile"),1,0))),"")</f>
        <v/>
      </c>
      <c r="M298" s="136" t="n"/>
    </row>
    <row r="299" ht="18" customHeight="1" s="98">
      <c r="A299" s="134" t="n"/>
      <c r="B299" s="134" t="n"/>
      <c r="C299" s="134" t="n"/>
      <c r="D299" s="134" t="n"/>
      <c r="E299" s="134" t="n"/>
      <c r="F299" s="134" t="n"/>
      <c r="G299" s="134" t="n"/>
      <c r="H299" s="134" t="n"/>
      <c r="I299" s="134" t="n"/>
      <c r="J299" s="134" t="n"/>
      <c r="K299" s="134" t="n"/>
      <c r="L299" s="135">
        <f>IFERROR(MAX(1,MIN(10,5+IF(I299&gt;=2,2,IF(I299&gt;=1.5,1,IF(I299&lt;1,-1,0)))+IF(J299="Yes",1,-1)+IF(OR(E299="Trending",E299="Volatile"),1,0))),"")</f>
        <v/>
      </c>
      <c r="M299" s="134" t="n"/>
    </row>
    <row r="300" ht="18" customHeight="1" s="98">
      <c r="A300" s="136" t="n"/>
      <c r="B300" s="136" t="n"/>
      <c r="C300" s="136" t="n"/>
      <c r="D300" s="136" t="n"/>
      <c r="E300" s="136" t="n"/>
      <c r="F300" s="136" t="n"/>
      <c r="G300" s="136" t="n"/>
      <c r="H300" s="136" t="n"/>
      <c r="I300" s="136" t="n"/>
      <c r="J300" s="136" t="n"/>
      <c r="K300" s="136" t="n"/>
      <c r="L300" s="137">
        <f>IFERROR(MAX(1,MIN(10,5+IF(I300&gt;=2,2,IF(I300&gt;=1.5,1,IF(I300&lt;1,-1,0)))+IF(J300="Yes",1,-1)+IF(OR(E300="Trending",E300="Volatile"),1,0))),"")</f>
        <v/>
      </c>
      <c r="M300" s="136" t="n"/>
    </row>
    <row r="301" ht="18" customHeight="1" s="98">
      <c r="A301" s="134" t="n"/>
      <c r="B301" s="134" t="n"/>
      <c r="C301" s="134" t="n"/>
      <c r="D301" s="134" t="n"/>
      <c r="E301" s="134" t="n"/>
      <c r="F301" s="134" t="n"/>
      <c r="G301" s="134" t="n"/>
      <c r="H301" s="134" t="n"/>
      <c r="I301" s="134" t="n"/>
      <c r="J301" s="134" t="n"/>
      <c r="K301" s="134" t="n"/>
      <c r="L301" s="135">
        <f>IFERROR(MAX(1,MIN(10,5+IF(I301&gt;=2,2,IF(I301&gt;=1.5,1,IF(I301&lt;1,-1,0)))+IF(J301="Yes",1,-1)+IF(OR(E301="Trending",E301="Volatile"),1,0))),"")</f>
        <v/>
      </c>
      <c r="M301" s="134" t="n"/>
    </row>
    <row r="302" ht="18" customHeight="1" s="98">
      <c r="A302" s="136" t="n"/>
      <c r="B302" s="136" t="n"/>
      <c r="C302" s="136" t="n"/>
      <c r="D302" s="136" t="n"/>
      <c r="E302" s="136" t="n"/>
      <c r="F302" s="136" t="n"/>
      <c r="G302" s="136" t="n"/>
      <c r="H302" s="136" t="n"/>
      <c r="I302" s="136" t="n"/>
      <c r="J302" s="136" t="n"/>
      <c r="K302" s="136" t="n"/>
      <c r="L302" s="137">
        <f>IFERROR(MAX(1,MIN(10,5+IF(I302&gt;=2,2,IF(I302&gt;=1.5,1,IF(I302&lt;1,-1,0)))+IF(J302="Yes",1,-1)+IF(OR(E302="Trending",E302="Volatile"),1,0))),"")</f>
        <v/>
      </c>
      <c r="M302" s="136" t="n"/>
    </row>
    <row r="304" ht="14" customHeight="1" s="98">
      <c r="A304" s="113" t="inlineStr">
        <is>
          <t>© thetradingmindset26 2026  ·  Basic Edition (₹499)  ·  @thetradingmindset26  ·  Educational self-improvement tool only. Not investment advice. Unauthorised redistribution prohibited.</t>
        </is>
      </c>
    </row>
  </sheetData>
  <mergeCells count="3">
    <mergeCell ref="A2:M2"/>
    <mergeCell ref="A304:H304"/>
    <mergeCell ref="A1:M1"/>
  </mergeCells>
  <dataValidations count="6">
    <dataValidation sqref="B4:B1302" showDropDown="0" showInputMessage="0" showErrorMessage="0" allowBlank="1" type="list" errorStyle="stop" operator="between">
      <formula1>"Bank Nifty,Nifty 50,Fin Nifty,Sensex,Crude Oil,Gold,USDINR,EURUSD,ETHUSDT,BTCUSDT,Other"</formula1>
      <formula2>0</formula2>
    </dataValidation>
    <dataValidation sqref="C4:C1302" showDropDown="0" showInputMessage="0" showErrorMessage="0" allowBlank="1" type="list" errorStyle="stop" operator="between">
      <formula1>"Long,Short"</formula1>
      <formula2>0</formula2>
    </dataValidation>
    <dataValidation sqref="D4:D1302" showDropDown="0" showInputMessage="0" showErrorMessage="0" allowBlank="1" type="list" errorStyle="stop" operator="between">
      <formula1>"Breakout,Breakdown,Reversal,Scalping,Liquidity Grab,VWAP Reversion,Opening Range,Order Block,Supply/Demand,Gap Fill,Other"</formula1>
      <formula2>0</formula2>
    </dataValidation>
    <dataValidation sqref="E4:E1302" showDropDown="0" showInputMessage="0" showErrorMessage="0" allowBlank="1" type="list" errorStyle="stop" operator="between">
      <formula1>"Trending,Ranging,Volatile,News Driven,Pre-Market,Post-Expiry"</formula1>
      <formula2>0</formula2>
    </dataValidation>
    <dataValidation sqref="J4:J1302" showDropDown="0" showInputMessage="0" showErrorMessage="0" allowBlank="1" type="list" errorStyle="stop" operator="between">
      <formula1>"Yes,No"</formula1>
      <formula2>0</formula2>
    </dataValidation>
    <dataValidation sqref="K4:K1302" showDropDown="0" showInputMessage="0" showErrorMessage="0" allowBlank="1" type="list" errorStyle="stop" operator="between">
      <formula1>"Confident,Disciplined,Calm,Neutral,Fearful,Anxious,Greedy,Revenge,FOMO,Overconfident,Frustrated,Satisfied,Regretful"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&amp;C&amp;"Arial,Bold"&amp;8 ⬡ AI Trading Journal Coach — Basic Edition (₹499)  ·  © thetradingmindset26 2026</oddHeader>
    <oddFooter>&amp;L&amp;"Arial,Italic"&amp;7 © thetradingmindset26 2026 · Educational only · Not investment advice · sebi.gov.in&amp;C&amp;"Arial"&amp;7 thetradingmindset26 · @thetradingmindset26 · gumroad.com/l/tmm-pro&amp;R&amp;"Arial"&amp;7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38BDF8"/>
    <outlinePr summaryBelow="1" summaryRight="1"/>
    <pageSetUpPr fitToPage="0"/>
  </sheetPr>
  <dimension ref="A1:L10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7" min="1" max="10"/>
  </cols>
  <sheetData>
    <row r="1" ht="25.5" customHeight="1" s="98">
      <c r="A1" s="138" t="inlineStr">
        <is>
          <t>⬡  PERFORMANCE DASHBOARD  ·  BASIC EDITION  ·  All data AUTO from TRADE_LOG</t>
        </is>
      </c>
    </row>
    <row r="2" ht="15.75" customHeight="1" s="98">
      <c r="A2" s="139" t="inlineStr">
        <is>
          <t>Everything below updates automatically when you add trades to TRADE_LOG. You never type anything here.</t>
        </is>
      </c>
    </row>
    <row r="3" ht="21.75" customHeight="1" s="98">
      <c r="A3" s="140" t="inlineStr">
        <is>
          <t>TOTAL TRADES</t>
        </is>
      </c>
      <c r="B3" s="140" t="inlineStr">
        <is>
          <t>WIN RATE</t>
        </is>
      </c>
      <c r="C3" s="140" t="inlineStr">
        <is>
          <t>TOTAL PnL</t>
        </is>
      </c>
      <c r="D3" s="140" t="inlineStr">
        <is>
          <t>PROFIT FACTOR</t>
        </is>
      </c>
      <c r="E3" s="140" t="inlineStr">
        <is>
          <t>AVG R:R</t>
        </is>
      </c>
      <c r="F3" s="140" t="inlineStr">
        <is>
          <t>DISCIPLINE %</t>
        </is>
      </c>
      <c r="G3" s="140" t="inlineStr">
        <is>
          <t>AVG WIN</t>
        </is>
      </c>
      <c r="H3" s="140" t="inlineStr">
        <is>
          <t>AVG LOSS</t>
        </is>
      </c>
      <c r="I3" s="140" t="inlineStr">
        <is>
          <t>EXPECTANCY</t>
        </is>
      </c>
      <c r="J3" s="140" t="inlineStr">
        <is>
          <t>AVG QUALITY</t>
        </is>
      </c>
    </row>
    <row r="4" ht="36" customHeight="1" s="98">
      <c r="A4" s="141">
        <f>COUNTA(TRADE_LOG!A4:A2000)</f>
        <v/>
      </c>
      <c r="B4" s="142">
        <f>IFERROR(COUNTIF(TRADE_LOG!H4:H2000,"&gt;0")/COUNTA(TRADE_LOG!H4:H2000),0)</f>
        <v/>
      </c>
      <c r="C4" s="143">
        <f>IFERROR(SUM(TRADE_LOG!H4:H2000),0)</f>
        <v/>
      </c>
      <c r="D4" s="144">
        <f>IFERROR(SUMIF(TRADE_LOG!H4:H2000,"&gt;0")/ABS(SUMIF(TRADE_LOG!H4:H2000,"&lt;0")),0)</f>
        <v/>
      </c>
      <c r="E4" s="145">
        <f>IFERROR(AVERAGE(TRADE_LOG!I4:I2000),0)</f>
        <v/>
      </c>
      <c r="F4" s="142">
        <f>IFERROR(COUNTIF(TRADE_LOG!J4:J2000,"Yes")/COUNTA(TRADE_LOG!J4:J2000),0)</f>
        <v/>
      </c>
      <c r="G4" s="146">
        <f>IFERROR(AVERAGEIF(TRADE_LOG!H4:H2000,"&gt;0",TRADE_LOG!H4:H2000),0)</f>
        <v/>
      </c>
      <c r="H4" s="147">
        <f>IFERROR(ABS(AVERAGEIF(TRADE_LOG!H4:H2000,"&lt;0",TRADE_LOG!H4:H2000)),0)</f>
        <v/>
      </c>
      <c r="I4" s="148">
        <f>IFERROR((COUNTIF(TRADE_LOG!H4:H2000,"&gt;0")/COUNTA(TRADE_LOG!H4:H2000))*AVERAGEIF(TRADE_LOG!H4:H2000,"&gt;0",TRADE_LOG!H4:H2000)+(COUNTIF(TRADE_LOG!H4:H2000,"&lt;0")/COUNTA(TRADE_LOG!H4:H2000))*AVERAGEIF(TRADE_LOG!H4:H2000,"&lt;0",TRADE_LOG!H4:H2000),0)</f>
        <v/>
      </c>
      <c r="J4" s="149">
        <f>IFERROR(AVERAGE(TRADE_LOG!L4:L2000),0)</f>
        <v/>
      </c>
    </row>
    <row r="5" ht="18" customHeight="1" s="98">
      <c r="A5" s="150" t="inlineStr">
        <is>
          <t>EQUITY CURVE DATA (auto-calculated):</t>
        </is>
      </c>
    </row>
    <row r="6" ht="18" customHeight="1" s="98">
      <c r="A6" s="120" t="inlineStr">
        <is>
          <t>Trade #</t>
        </is>
      </c>
      <c r="B6" s="120" t="inlineStr">
        <is>
          <t>Date</t>
        </is>
      </c>
      <c r="C6" s="120" t="inlineStr">
        <is>
          <t>PnL</t>
        </is>
      </c>
      <c r="D6" s="120" t="inlineStr">
        <is>
          <t>Cumulative PnL</t>
        </is>
      </c>
      <c r="E6" s="120" t="inlineStr">
        <is>
          <t>Rolling Win Rate</t>
        </is>
      </c>
    </row>
    <row r="7" ht="15.75" customHeight="1" s="98">
      <c r="A7" s="151">
        <f>IF(TRADE_LOG!A4&lt;&gt;"",1,"")</f>
        <v/>
      </c>
      <c r="B7" s="151">
        <f>IF(TRADE_LOG!A4&lt;&gt;"",TRADE_LOG!A4,"")</f>
        <v/>
      </c>
      <c r="C7" s="152">
        <f>IF(TRADE_LOG!H4&lt;&gt;"",TRADE_LOG!H4,"")</f>
        <v/>
      </c>
      <c r="D7" s="152">
        <f>IF(C7&lt;&gt;"",C7,"")</f>
        <v/>
      </c>
      <c r="E7" s="153">
        <f>IFERROR(COUNTIF(TRADE_LOG!H$4:H$4,"&gt;0")/COUNTA(TRADE_LOG!H$4:H$4),"")</f>
        <v/>
      </c>
    </row>
    <row r="8" ht="15.75" customHeight="1" s="98">
      <c r="A8" s="154">
        <f>IF(TRADE_LOG!A5&lt;&gt;"",2,"")</f>
        <v/>
      </c>
      <c r="B8" s="154">
        <f>IF(TRADE_LOG!A5&lt;&gt;"",TRADE_LOG!A5,"")</f>
        <v/>
      </c>
      <c r="C8" s="155">
        <f>IF(TRADE_LOG!H5&lt;&gt;"",TRADE_LOG!H5,"")</f>
        <v/>
      </c>
      <c r="D8" s="155">
        <f>IF(C8&lt;&gt;"",D7+C8,"")</f>
        <v/>
      </c>
      <c r="E8" s="156">
        <f>IFERROR(COUNTIF(TRADE_LOG!H$4:H$5,"&gt;0")/COUNTA(TRADE_LOG!H$4:H$5),"")</f>
        <v/>
      </c>
    </row>
    <row r="9" ht="15.75" customHeight="1" s="98">
      <c r="A9" s="151">
        <f>IF(TRADE_LOG!A6&lt;&gt;"",3,"")</f>
        <v/>
      </c>
      <c r="B9" s="151">
        <f>IF(TRADE_LOG!A6&lt;&gt;"",TRADE_LOG!A6,"")</f>
        <v/>
      </c>
      <c r="C9" s="152">
        <f>IF(TRADE_LOG!H6&lt;&gt;"",TRADE_LOG!H6,"")</f>
        <v/>
      </c>
      <c r="D9" s="152">
        <f>IF(C9&lt;&gt;"",D8+C9,"")</f>
        <v/>
      </c>
      <c r="E9" s="153">
        <f>IFERROR(COUNTIF(TRADE_LOG!H$4:H$6,"&gt;0")/COUNTA(TRADE_LOG!H$4:H$6),"")</f>
        <v/>
      </c>
    </row>
    <row r="10" ht="15.75" customHeight="1" s="98">
      <c r="A10" s="154">
        <f>IF(TRADE_LOG!A7&lt;&gt;"",4,"")</f>
        <v/>
      </c>
      <c r="B10" s="154">
        <f>IF(TRADE_LOG!A7&lt;&gt;"",TRADE_LOG!A7,"")</f>
        <v/>
      </c>
      <c r="C10" s="155">
        <f>IF(TRADE_LOG!H7&lt;&gt;"",TRADE_LOG!H7,"")</f>
        <v/>
      </c>
      <c r="D10" s="155">
        <f>IF(C10&lt;&gt;"",D9+C10,"")</f>
        <v/>
      </c>
      <c r="E10" s="156">
        <f>IFERROR(COUNTIF(TRADE_LOG!H$4:H$7,"&gt;0")/COUNTA(TRADE_LOG!H$4:H$7),"")</f>
        <v/>
      </c>
    </row>
    <row r="11" ht="15.75" customHeight="1" s="98">
      <c r="A11" s="151">
        <f>IF(TRADE_LOG!A8&lt;&gt;"",5,"")</f>
        <v/>
      </c>
      <c r="B11" s="151">
        <f>IF(TRADE_LOG!A8&lt;&gt;"",TRADE_LOG!A8,"")</f>
        <v/>
      </c>
      <c r="C11" s="152">
        <f>IF(TRADE_LOG!H8&lt;&gt;"",TRADE_LOG!H8,"")</f>
        <v/>
      </c>
      <c r="D11" s="152">
        <f>IF(C11&lt;&gt;"",D10+C11,"")</f>
        <v/>
      </c>
      <c r="E11" s="153">
        <f>IFERROR(COUNTIF(TRADE_LOG!H$4:H$8,"&gt;0")/COUNTA(TRADE_LOG!H$4:H$8),"")</f>
        <v/>
      </c>
    </row>
    <row r="12" ht="15.75" customHeight="1" s="98">
      <c r="A12" s="154">
        <f>IF(TRADE_LOG!A9&lt;&gt;"",6,"")</f>
        <v/>
      </c>
      <c r="B12" s="154">
        <f>IF(TRADE_LOG!A9&lt;&gt;"",TRADE_LOG!A9,"")</f>
        <v/>
      </c>
      <c r="C12" s="154">
        <f>IF(TRADE_LOG!H9&lt;&gt;"",TRADE_LOG!H9,"")</f>
        <v/>
      </c>
      <c r="D12" s="155">
        <f>IF(C12&lt;&gt;"",D11+C12,"")</f>
        <v/>
      </c>
      <c r="E12" s="156">
        <f>IFERROR(COUNTIF(TRADE_LOG!H$4:H$9,"&gt;0")/COUNTA(TRADE_LOG!H$4:H$9),"")</f>
        <v/>
      </c>
    </row>
    <row r="13" ht="15.75" customHeight="1" s="98">
      <c r="A13" s="151">
        <f>IF(TRADE_LOG!A10&lt;&gt;"",7,"")</f>
        <v/>
      </c>
      <c r="B13" s="151">
        <f>IF(TRADE_LOG!A10&lt;&gt;"",TRADE_LOG!A10,"")</f>
        <v/>
      </c>
      <c r="C13" s="151">
        <f>IF(TRADE_LOG!H10&lt;&gt;"",TRADE_LOG!H10,"")</f>
        <v/>
      </c>
      <c r="D13" s="152">
        <f>IF(C13&lt;&gt;"",D12+C13,"")</f>
        <v/>
      </c>
      <c r="E13" s="153">
        <f>IFERROR(COUNTIF(TRADE_LOG!H$4:H$10,"&gt;0")/COUNTA(TRADE_LOG!H$4:H$10),"")</f>
        <v/>
      </c>
    </row>
    <row r="14" ht="15.75" customHeight="1" s="98">
      <c r="A14" s="154">
        <f>IF(TRADE_LOG!A11&lt;&gt;"",8,"")</f>
        <v/>
      </c>
      <c r="B14" s="154">
        <f>IF(TRADE_LOG!A11&lt;&gt;"",TRADE_LOG!A11,"")</f>
        <v/>
      </c>
      <c r="C14" s="154">
        <f>IF(TRADE_LOG!H11&lt;&gt;"",TRADE_LOG!H11,"")</f>
        <v/>
      </c>
      <c r="D14" s="155">
        <f>IF(C14&lt;&gt;"",D13+C14,"")</f>
        <v/>
      </c>
      <c r="E14" s="156">
        <f>IFERROR(COUNTIF(TRADE_LOG!H$4:H$11,"&gt;0")/COUNTA(TRADE_LOG!H$4:H$11),"")</f>
        <v/>
      </c>
    </row>
    <row r="15" ht="15.75" customHeight="1" s="98">
      <c r="A15" s="151">
        <f>IF(TRADE_LOG!A12&lt;&gt;"",9,"")</f>
        <v/>
      </c>
      <c r="B15" s="151">
        <f>IF(TRADE_LOG!A12&lt;&gt;"",TRADE_LOG!A12,"")</f>
        <v/>
      </c>
      <c r="C15" s="151">
        <f>IF(TRADE_LOG!H12&lt;&gt;"",TRADE_LOG!H12,"")</f>
        <v/>
      </c>
      <c r="D15" s="152">
        <f>IF(C15&lt;&gt;"",D14+C15,"")</f>
        <v/>
      </c>
      <c r="E15" s="153">
        <f>IFERROR(COUNTIF(TRADE_LOG!H$4:H$12,"&gt;0")/COUNTA(TRADE_LOG!H$4:H$12),"")</f>
        <v/>
      </c>
    </row>
    <row r="16" ht="15.75" customHeight="1" s="98">
      <c r="A16" s="154">
        <f>IF(TRADE_LOG!A13&lt;&gt;"",10,"")</f>
        <v/>
      </c>
      <c r="B16" s="154">
        <f>IF(TRADE_LOG!A13&lt;&gt;"",TRADE_LOG!A13,"")</f>
        <v/>
      </c>
      <c r="C16" s="154">
        <f>IF(TRADE_LOG!H13&lt;&gt;"",TRADE_LOG!H13,"")</f>
        <v/>
      </c>
      <c r="D16" s="155">
        <f>IF(C16&lt;&gt;"",D15+C16,"")</f>
        <v/>
      </c>
      <c r="E16" s="156">
        <f>IFERROR(COUNTIF(TRADE_LOG!H$4:H$13,"&gt;0")/COUNTA(TRADE_LOG!H$4:H$13),"")</f>
        <v/>
      </c>
    </row>
    <row r="17" ht="15.75" customHeight="1" s="98">
      <c r="A17" s="151">
        <f>IF(TRADE_LOG!A14&lt;&gt;"",11,"")</f>
        <v/>
      </c>
      <c r="B17" s="151">
        <f>IF(TRADE_LOG!A14&lt;&gt;"",TRADE_LOG!A14,"")</f>
        <v/>
      </c>
      <c r="C17" s="151">
        <f>IF(TRADE_LOG!H14&lt;&gt;"",TRADE_LOG!H14,"")</f>
        <v/>
      </c>
      <c r="D17" s="152">
        <f>IF(C17&lt;&gt;"",D16+C17,"")</f>
        <v/>
      </c>
      <c r="E17" s="153">
        <f>IFERROR(COUNTIF(TRADE_LOG!H$4:H$14,"&gt;0")/COUNTA(TRADE_LOG!H$4:H$14),"")</f>
        <v/>
      </c>
    </row>
    <row r="18" ht="15.75" customHeight="1" s="98">
      <c r="A18" s="154">
        <f>IF(TRADE_LOG!A15&lt;&gt;"",12,"")</f>
        <v/>
      </c>
      <c r="B18" s="154">
        <f>IF(TRADE_LOG!A15&lt;&gt;"",TRADE_LOG!A15,"")</f>
        <v/>
      </c>
      <c r="C18" s="154">
        <f>IF(TRADE_LOG!H15&lt;&gt;"",TRADE_LOG!H15,"")</f>
        <v/>
      </c>
      <c r="D18" s="155">
        <f>IF(C18&lt;&gt;"",D17+C18,"")</f>
        <v/>
      </c>
      <c r="E18" s="156">
        <f>IFERROR(COUNTIF(TRADE_LOG!H$4:H$15,"&gt;0")/COUNTA(TRADE_LOG!H$4:H$15),"")</f>
        <v/>
      </c>
    </row>
    <row r="19" ht="15.75" customHeight="1" s="98">
      <c r="A19" s="151">
        <f>IF(TRADE_LOG!A16&lt;&gt;"",13,"")</f>
        <v/>
      </c>
      <c r="B19" s="151">
        <f>IF(TRADE_LOG!A16&lt;&gt;"",TRADE_LOG!A16,"")</f>
        <v/>
      </c>
      <c r="C19" s="151">
        <f>IF(TRADE_LOG!H16&lt;&gt;"",TRADE_LOG!H16,"")</f>
        <v/>
      </c>
      <c r="D19" s="152">
        <f>IF(C19&lt;&gt;"",D18+C19,"")</f>
        <v/>
      </c>
      <c r="E19" s="153">
        <f>IFERROR(COUNTIF(TRADE_LOG!H$4:H$16,"&gt;0")/COUNTA(TRADE_LOG!H$4:H$16),"")</f>
        <v/>
      </c>
    </row>
    <row r="20" ht="15.75" customHeight="1" s="98">
      <c r="A20" s="154">
        <f>IF(TRADE_LOG!A17&lt;&gt;"",14,"")</f>
        <v/>
      </c>
      <c r="B20" s="154">
        <f>IF(TRADE_LOG!A17&lt;&gt;"",TRADE_LOG!A17,"")</f>
        <v/>
      </c>
      <c r="C20" s="154">
        <f>IF(TRADE_LOG!H17&lt;&gt;"",TRADE_LOG!H17,"")</f>
        <v/>
      </c>
      <c r="D20" s="155">
        <f>IF(C20&lt;&gt;"",D19+C20,"")</f>
        <v/>
      </c>
      <c r="E20" s="156">
        <f>IFERROR(COUNTIF(TRADE_LOG!H$4:H$17,"&gt;0")/COUNTA(TRADE_LOG!H$4:H$17),"")</f>
        <v/>
      </c>
    </row>
    <row r="21" ht="15.75" customHeight="1" s="98">
      <c r="A21" s="151">
        <f>IF(TRADE_LOG!A18&lt;&gt;"",15,"")</f>
        <v/>
      </c>
      <c r="B21" s="151">
        <f>IF(TRADE_LOG!A18&lt;&gt;"",TRADE_LOG!A18,"")</f>
        <v/>
      </c>
      <c r="C21" s="151">
        <f>IF(TRADE_LOG!H18&lt;&gt;"",TRADE_LOG!H18,"")</f>
        <v/>
      </c>
      <c r="D21" s="152">
        <f>IF(C21&lt;&gt;"",D20+C21,"")</f>
        <v/>
      </c>
      <c r="E21" s="153">
        <f>IFERROR(COUNTIF(TRADE_LOG!H$4:H$18,"&gt;0")/COUNTA(TRADE_LOG!H$4:H$18),"")</f>
        <v/>
      </c>
    </row>
    <row r="22" ht="15.75" customHeight="1" s="98">
      <c r="A22" s="154">
        <f>IF(TRADE_LOG!A19&lt;&gt;"",16,"")</f>
        <v/>
      </c>
      <c r="B22" s="154">
        <f>IF(TRADE_LOG!A19&lt;&gt;"",TRADE_LOG!A19,"")</f>
        <v/>
      </c>
      <c r="C22" s="154">
        <f>IF(TRADE_LOG!H19&lt;&gt;"",TRADE_LOG!H19,"")</f>
        <v/>
      </c>
      <c r="D22" s="155">
        <f>IF(C22&lt;&gt;"",D21+C22,"")</f>
        <v/>
      </c>
      <c r="E22" s="156">
        <f>IFERROR(COUNTIF(TRADE_LOG!H$4:H$19,"&gt;0")/COUNTA(TRADE_LOG!H$4:H$19),"")</f>
        <v/>
      </c>
    </row>
    <row r="23" ht="15.75" customHeight="1" s="98">
      <c r="A23" s="151">
        <f>IF(TRADE_LOG!A20&lt;&gt;"",17,"")</f>
        <v/>
      </c>
      <c r="B23" s="151">
        <f>IF(TRADE_LOG!A20&lt;&gt;"",TRADE_LOG!A20,"")</f>
        <v/>
      </c>
      <c r="C23" s="151">
        <f>IF(TRADE_LOG!H20&lt;&gt;"",TRADE_LOG!H20,"")</f>
        <v/>
      </c>
      <c r="D23" s="152">
        <f>IF(C23&lt;&gt;"",D22+C23,"")</f>
        <v/>
      </c>
      <c r="E23" s="153">
        <f>IFERROR(COUNTIF(TRADE_LOG!H$4:H$20,"&gt;0")/COUNTA(TRADE_LOG!H$4:H$20),"")</f>
        <v/>
      </c>
    </row>
    <row r="24" ht="15.75" customHeight="1" s="98">
      <c r="A24" s="154">
        <f>IF(TRADE_LOG!A21&lt;&gt;"",18,"")</f>
        <v/>
      </c>
      <c r="B24" s="154">
        <f>IF(TRADE_LOG!A21&lt;&gt;"",TRADE_LOG!A21,"")</f>
        <v/>
      </c>
      <c r="C24" s="154">
        <f>IF(TRADE_LOG!H21&lt;&gt;"",TRADE_LOG!H21,"")</f>
        <v/>
      </c>
      <c r="D24" s="155">
        <f>IF(C24&lt;&gt;"",D23+C24,"")</f>
        <v/>
      </c>
      <c r="E24" s="156">
        <f>IFERROR(COUNTIF(TRADE_LOG!H$4:H$21,"&gt;0")/COUNTA(TRADE_LOG!H$4:H$21),"")</f>
        <v/>
      </c>
    </row>
    <row r="25" ht="15.75" customHeight="1" s="98">
      <c r="A25" s="151">
        <f>IF(TRADE_LOG!A22&lt;&gt;"",19,"")</f>
        <v/>
      </c>
      <c r="B25" s="151">
        <f>IF(TRADE_LOG!A22&lt;&gt;"",TRADE_LOG!A22,"")</f>
        <v/>
      </c>
      <c r="C25" s="151">
        <f>IF(TRADE_LOG!H22&lt;&gt;"",TRADE_LOG!H22,"")</f>
        <v/>
      </c>
      <c r="D25" s="152">
        <f>IF(C25&lt;&gt;"",D24+C25,"")</f>
        <v/>
      </c>
      <c r="E25" s="153">
        <f>IFERROR(COUNTIF(TRADE_LOG!H$4:H$22,"&gt;0")/COUNTA(TRADE_LOG!H$4:H$22),"")</f>
        <v/>
      </c>
    </row>
    <row r="26" ht="15.75" customHeight="1" s="98">
      <c r="A26" s="154">
        <f>IF(TRADE_LOG!A23&lt;&gt;"",20,"")</f>
        <v/>
      </c>
      <c r="B26" s="154">
        <f>IF(TRADE_LOG!A23&lt;&gt;"",TRADE_LOG!A23,"")</f>
        <v/>
      </c>
      <c r="C26" s="154">
        <f>IF(TRADE_LOG!H23&lt;&gt;"",TRADE_LOG!H23,"")</f>
        <v/>
      </c>
      <c r="D26" s="155">
        <f>IF(C26&lt;&gt;"",D25+C26,"")</f>
        <v/>
      </c>
      <c r="E26" s="156">
        <f>IFERROR(COUNTIF(TRADE_LOG!H$4:H$23,"&gt;0")/COUNTA(TRADE_LOG!H$4:H$23),"")</f>
        <v/>
      </c>
    </row>
    <row r="27" ht="15.75" customHeight="1" s="98">
      <c r="A27" s="151">
        <f>IF(TRADE_LOG!A24&lt;&gt;"",21,"")</f>
        <v/>
      </c>
      <c r="B27" s="151">
        <f>IF(TRADE_LOG!A24&lt;&gt;"",TRADE_LOG!A24,"")</f>
        <v/>
      </c>
      <c r="C27" s="151">
        <f>IF(TRADE_LOG!H24&lt;&gt;"",TRADE_LOG!H24,"")</f>
        <v/>
      </c>
      <c r="D27" s="152">
        <f>IF(C27&lt;&gt;"",D26+C27,"")</f>
        <v/>
      </c>
      <c r="E27" s="153">
        <f>IFERROR(COUNTIF(TRADE_LOG!H$4:H$24,"&gt;0")/COUNTA(TRADE_LOG!H$4:H$24),"")</f>
        <v/>
      </c>
    </row>
    <row r="28" ht="15.75" customHeight="1" s="98">
      <c r="A28" s="154">
        <f>IF(TRADE_LOG!A25&lt;&gt;"",22,"")</f>
        <v/>
      </c>
      <c r="B28" s="154">
        <f>IF(TRADE_LOG!A25&lt;&gt;"",TRADE_LOG!A25,"")</f>
        <v/>
      </c>
      <c r="C28" s="154">
        <f>IF(TRADE_LOG!H25&lt;&gt;"",TRADE_LOG!H25,"")</f>
        <v/>
      </c>
      <c r="D28" s="155">
        <f>IF(C28&lt;&gt;"",D27+C28,"")</f>
        <v/>
      </c>
      <c r="E28" s="156">
        <f>IFERROR(COUNTIF(TRADE_LOG!H$4:H$25,"&gt;0")/COUNTA(TRADE_LOG!H$4:H$25),"")</f>
        <v/>
      </c>
    </row>
    <row r="29" ht="15.75" customHeight="1" s="98">
      <c r="A29" s="151">
        <f>IF(TRADE_LOG!A26&lt;&gt;"",23,"")</f>
        <v/>
      </c>
      <c r="B29" s="151">
        <f>IF(TRADE_LOG!A26&lt;&gt;"",TRADE_LOG!A26,"")</f>
        <v/>
      </c>
      <c r="C29" s="151">
        <f>IF(TRADE_LOG!H26&lt;&gt;"",TRADE_LOG!H26,"")</f>
        <v/>
      </c>
      <c r="D29" s="152">
        <f>IF(C29&lt;&gt;"",D28+C29,"")</f>
        <v/>
      </c>
      <c r="E29" s="153">
        <f>IFERROR(COUNTIF(TRADE_LOG!H$4:H$26,"&gt;0")/COUNTA(TRADE_LOG!H$4:H$26),"")</f>
        <v/>
      </c>
    </row>
    <row r="30" ht="15.75" customHeight="1" s="98">
      <c r="A30" s="154">
        <f>IF(TRADE_LOG!A27&lt;&gt;"",24,"")</f>
        <v/>
      </c>
      <c r="B30" s="154">
        <f>IF(TRADE_LOG!A27&lt;&gt;"",TRADE_LOG!A27,"")</f>
        <v/>
      </c>
      <c r="C30" s="154">
        <f>IF(TRADE_LOG!H27&lt;&gt;"",TRADE_LOG!H27,"")</f>
        <v/>
      </c>
      <c r="D30" s="155">
        <f>IF(C30&lt;&gt;"",D29+C30,"")</f>
        <v/>
      </c>
      <c r="E30" s="156">
        <f>IFERROR(COUNTIF(TRADE_LOG!H$4:H$27,"&gt;0")/COUNTA(TRADE_LOG!H$4:H$27),"")</f>
        <v/>
      </c>
    </row>
    <row r="31" ht="15.75" customHeight="1" s="98">
      <c r="A31" s="151">
        <f>IF(TRADE_LOG!A28&lt;&gt;"",25,"")</f>
        <v/>
      </c>
      <c r="B31" s="151">
        <f>IF(TRADE_LOG!A28&lt;&gt;"",TRADE_LOG!A28,"")</f>
        <v/>
      </c>
      <c r="C31" s="151">
        <f>IF(TRADE_LOG!H28&lt;&gt;"",TRADE_LOG!H28,"")</f>
        <v/>
      </c>
      <c r="D31" s="152">
        <f>IF(C31&lt;&gt;"",D30+C31,"")</f>
        <v/>
      </c>
      <c r="E31" s="153">
        <f>IFERROR(COUNTIF(TRADE_LOG!H$4:H$28,"&gt;0")/COUNTA(TRADE_LOG!H$4:H$28),"")</f>
        <v/>
      </c>
    </row>
    <row r="32" ht="15.75" customHeight="1" s="98">
      <c r="A32" s="154">
        <f>IF(TRADE_LOG!A29&lt;&gt;"",26,"")</f>
        <v/>
      </c>
      <c r="B32" s="154">
        <f>IF(TRADE_LOG!A29&lt;&gt;"",TRADE_LOG!A29,"")</f>
        <v/>
      </c>
      <c r="C32" s="154">
        <f>IF(TRADE_LOG!H29&lt;&gt;"",TRADE_LOG!H29,"")</f>
        <v/>
      </c>
      <c r="D32" s="155">
        <f>IF(C32&lt;&gt;"",D31+C32,"")</f>
        <v/>
      </c>
      <c r="E32" s="156">
        <f>IFERROR(COUNTIF(TRADE_LOG!H$4:H$29,"&gt;0")/COUNTA(TRADE_LOG!H$4:H$29),"")</f>
        <v/>
      </c>
    </row>
    <row r="33" ht="15.75" customHeight="1" s="98">
      <c r="A33" s="151">
        <f>IF(TRADE_LOG!A30&lt;&gt;"",27,"")</f>
        <v/>
      </c>
      <c r="B33" s="151">
        <f>IF(TRADE_LOG!A30&lt;&gt;"",TRADE_LOG!A30,"")</f>
        <v/>
      </c>
      <c r="C33" s="151">
        <f>IF(TRADE_LOG!H30&lt;&gt;"",TRADE_LOG!H30,"")</f>
        <v/>
      </c>
      <c r="D33" s="152">
        <f>IF(C33&lt;&gt;"",D32+C33,"")</f>
        <v/>
      </c>
      <c r="E33" s="153">
        <f>IFERROR(COUNTIF(TRADE_LOG!H$4:H$30,"&gt;0")/COUNTA(TRADE_LOG!H$4:H$30),"")</f>
        <v/>
      </c>
    </row>
    <row r="34" ht="15.75" customHeight="1" s="98">
      <c r="A34" s="154">
        <f>IF(TRADE_LOG!A31&lt;&gt;"",28,"")</f>
        <v/>
      </c>
      <c r="B34" s="154">
        <f>IF(TRADE_LOG!A31&lt;&gt;"",TRADE_LOG!A31,"")</f>
        <v/>
      </c>
      <c r="C34" s="154">
        <f>IF(TRADE_LOG!H31&lt;&gt;"",TRADE_LOG!H31,"")</f>
        <v/>
      </c>
      <c r="D34" s="155">
        <f>IF(C34&lt;&gt;"",D33+C34,"")</f>
        <v/>
      </c>
      <c r="E34" s="156">
        <f>IFERROR(COUNTIF(TRADE_LOG!H$4:H$31,"&gt;0")/COUNTA(TRADE_LOG!H$4:H$31),"")</f>
        <v/>
      </c>
    </row>
    <row r="35" ht="15.75" customHeight="1" s="98">
      <c r="A35" s="151">
        <f>IF(TRADE_LOG!A32&lt;&gt;"",29,"")</f>
        <v/>
      </c>
      <c r="B35" s="151">
        <f>IF(TRADE_LOG!A32&lt;&gt;"",TRADE_LOG!A32,"")</f>
        <v/>
      </c>
      <c r="C35" s="151">
        <f>IF(TRADE_LOG!H32&lt;&gt;"",TRADE_LOG!H32,"")</f>
        <v/>
      </c>
      <c r="D35" s="152">
        <f>IF(C35&lt;&gt;"",D34+C35,"")</f>
        <v/>
      </c>
      <c r="E35" s="153">
        <f>IFERROR(COUNTIF(TRADE_LOG!H$4:H$32,"&gt;0")/COUNTA(TRADE_LOG!H$4:H$32),"")</f>
        <v/>
      </c>
    </row>
    <row r="36" ht="15.75" customHeight="1" s="98">
      <c r="A36" s="154">
        <f>IF(TRADE_LOG!A33&lt;&gt;"",30,"")</f>
        <v/>
      </c>
      <c r="B36" s="154">
        <f>IF(TRADE_LOG!A33&lt;&gt;"",TRADE_LOG!A33,"")</f>
        <v/>
      </c>
      <c r="C36" s="154">
        <f>IF(TRADE_LOG!H33&lt;&gt;"",TRADE_LOG!H33,"")</f>
        <v/>
      </c>
      <c r="D36" s="155">
        <f>IF(C36&lt;&gt;"",D35+C36,"")</f>
        <v/>
      </c>
      <c r="E36" s="156">
        <f>IFERROR(COUNTIF(TRADE_LOG!H$4:H$33,"&gt;0")/COUNTA(TRADE_LOG!H$4:H$33),"")</f>
        <v/>
      </c>
    </row>
    <row r="37" ht="15.75" customHeight="1" s="98">
      <c r="A37" s="151">
        <f>IF(TRADE_LOG!A34&lt;&gt;"",31,"")</f>
        <v/>
      </c>
      <c r="B37" s="151">
        <f>IF(TRADE_LOG!A34&lt;&gt;"",TRADE_LOG!A34,"")</f>
        <v/>
      </c>
      <c r="C37" s="151">
        <f>IF(TRADE_LOG!H34&lt;&gt;"",TRADE_LOG!H34,"")</f>
        <v/>
      </c>
      <c r="D37" s="152">
        <f>IF(C37&lt;&gt;"",D36+C37,"")</f>
        <v/>
      </c>
      <c r="E37" s="153">
        <f>IFERROR(COUNTIF(TRADE_LOG!H$4:H$34,"&gt;0")/COUNTA(TRADE_LOG!H$4:H$34),"")</f>
        <v/>
      </c>
    </row>
    <row r="38" ht="15.75" customHeight="1" s="98">
      <c r="A38" s="154">
        <f>IF(TRADE_LOG!A35&lt;&gt;"",32,"")</f>
        <v/>
      </c>
      <c r="B38" s="154">
        <f>IF(TRADE_LOG!A35&lt;&gt;"",TRADE_LOG!A35,"")</f>
        <v/>
      </c>
      <c r="C38" s="154">
        <f>IF(TRADE_LOG!H35&lt;&gt;"",TRADE_LOG!H35,"")</f>
        <v/>
      </c>
      <c r="D38" s="155">
        <f>IF(C38&lt;&gt;"",D37+C38,"")</f>
        <v/>
      </c>
      <c r="E38" s="156">
        <f>IFERROR(COUNTIF(TRADE_LOG!H$4:H$35,"&gt;0")/COUNTA(TRADE_LOG!H$4:H$35),"")</f>
        <v/>
      </c>
    </row>
    <row r="39" ht="15.75" customHeight="1" s="98">
      <c r="A39" s="151">
        <f>IF(TRADE_LOG!A36&lt;&gt;"",33,"")</f>
        <v/>
      </c>
      <c r="B39" s="151">
        <f>IF(TRADE_LOG!A36&lt;&gt;"",TRADE_LOG!A36,"")</f>
        <v/>
      </c>
      <c r="C39" s="151">
        <f>IF(TRADE_LOG!H36&lt;&gt;"",TRADE_LOG!H36,"")</f>
        <v/>
      </c>
      <c r="D39" s="152">
        <f>IF(C39&lt;&gt;"",D38+C39,"")</f>
        <v/>
      </c>
      <c r="E39" s="153">
        <f>IFERROR(COUNTIF(TRADE_LOG!H$4:H$36,"&gt;0")/COUNTA(TRADE_LOG!H$4:H$36),"")</f>
        <v/>
      </c>
    </row>
    <row r="40" ht="15.75" customHeight="1" s="98">
      <c r="A40" s="154">
        <f>IF(TRADE_LOG!A37&lt;&gt;"",34,"")</f>
        <v/>
      </c>
      <c r="B40" s="154">
        <f>IF(TRADE_LOG!A37&lt;&gt;"",TRADE_LOG!A37,"")</f>
        <v/>
      </c>
      <c r="C40" s="154">
        <f>IF(TRADE_LOG!H37&lt;&gt;"",TRADE_LOG!H37,"")</f>
        <v/>
      </c>
      <c r="D40" s="155">
        <f>IF(C40&lt;&gt;"",D39+C40,"")</f>
        <v/>
      </c>
      <c r="E40" s="156">
        <f>IFERROR(COUNTIF(TRADE_LOG!H$4:H$37,"&gt;0")/COUNTA(TRADE_LOG!H$4:H$37),"")</f>
        <v/>
      </c>
    </row>
    <row r="41" ht="15.75" customHeight="1" s="98">
      <c r="A41" s="151">
        <f>IF(TRADE_LOG!A38&lt;&gt;"",35,"")</f>
        <v/>
      </c>
      <c r="B41" s="151">
        <f>IF(TRADE_LOG!A38&lt;&gt;"",TRADE_LOG!A38,"")</f>
        <v/>
      </c>
      <c r="C41" s="151">
        <f>IF(TRADE_LOG!H38&lt;&gt;"",TRADE_LOG!H38,"")</f>
        <v/>
      </c>
      <c r="D41" s="152">
        <f>IF(C41&lt;&gt;"",D40+C41,"")</f>
        <v/>
      </c>
      <c r="E41" s="153">
        <f>IFERROR(COUNTIF(TRADE_LOG!H$4:H$38,"&gt;0")/COUNTA(TRADE_LOG!H$4:H$38),"")</f>
        <v/>
      </c>
    </row>
    <row r="42" ht="15.75" customHeight="1" s="98">
      <c r="A42" s="154">
        <f>IF(TRADE_LOG!A39&lt;&gt;"",36,"")</f>
        <v/>
      </c>
      <c r="B42" s="154">
        <f>IF(TRADE_LOG!A39&lt;&gt;"",TRADE_LOG!A39,"")</f>
        <v/>
      </c>
      <c r="C42" s="154">
        <f>IF(TRADE_LOG!H39&lt;&gt;"",TRADE_LOG!H39,"")</f>
        <v/>
      </c>
      <c r="D42" s="155">
        <f>IF(C42&lt;&gt;"",D41+C42,"")</f>
        <v/>
      </c>
      <c r="E42" s="156">
        <f>IFERROR(COUNTIF(TRADE_LOG!H$4:H$39,"&gt;0")/COUNTA(TRADE_LOG!H$4:H$39),"")</f>
        <v/>
      </c>
    </row>
    <row r="43" ht="15.75" customHeight="1" s="98">
      <c r="A43" s="151">
        <f>IF(TRADE_LOG!A40&lt;&gt;"",37,"")</f>
        <v/>
      </c>
      <c r="B43" s="151">
        <f>IF(TRADE_LOG!A40&lt;&gt;"",TRADE_LOG!A40,"")</f>
        <v/>
      </c>
      <c r="C43" s="151">
        <f>IF(TRADE_LOG!H40&lt;&gt;"",TRADE_LOG!H40,"")</f>
        <v/>
      </c>
      <c r="D43" s="152">
        <f>IF(C43&lt;&gt;"",D42+C43,"")</f>
        <v/>
      </c>
      <c r="E43" s="153">
        <f>IFERROR(COUNTIF(TRADE_LOG!H$4:H$40,"&gt;0")/COUNTA(TRADE_LOG!H$4:H$40),"")</f>
        <v/>
      </c>
    </row>
    <row r="44" ht="15.75" customHeight="1" s="98">
      <c r="A44" s="154">
        <f>IF(TRADE_LOG!A41&lt;&gt;"",38,"")</f>
        <v/>
      </c>
      <c r="B44" s="154">
        <f>IF(TRADE_LOG!A41&lt;&gt;"",TRADE_LOG!A41,"")</f>
        <v/>
      </c>
      <c r="C44" s="154">
        <f>IF(TRADE_LOG!H41&lt;&gt;"",TRADE_LOG!H41,"")</f>
        <v/>
      </c>
      <c r="D44" s="155">
        <f>IF(C44&lt;&gt;"",D43+C44,"")</f>
        <v/>
      </c>
      <c r="E44" s="156">
        <f>IFERROR(COUNTIF(TRADE_LOG!H$4:H$41,"&gt;0")/COUNTA(TRADE_LOG!H$4:H$41),"")</f>
        <v/>
      </c>
    </row>
    <row r="45" ht="15.75" customHeight="1" s="98">
      <c r="A45" s="151">
        <f>IF(TRADE_LOG!A42&lt;&gt;"",39,"")</f>
        <v/>
      </c>
      <c r="B45" s="151">
        <f>IF(TRADE_LOG!A42&lt;&gt;"",TRADE_LOG!A42,"")</f>
        <v/>
      </c>
      <c r="C45" s="151">
        <f>IF(TRADE_LOG!H42&lt;&gt;"",TRADE_LOG!H42,"")</f>
        <v/>
      </c>
      <c r="D45" s="152">
        <f>IF(C45&lt;&gt;"",D44+C45,"")</f>
        <v/>
      </c>
      <c r="E45" s="153">
        <f>IFERROR(COUNTIF(TRADE_LOG!H$4:H$42,"&gt;0")/COUNTA(TRADE_LOG!H$4:H$42),"")</f>
        <v/>
      </c>
    </row>
    <row r="46" ht="15.75" customHeight="1" s="98">
      <c r="A46" s="154">
        <f>IF(TRADE_LOG!A43&lt;&gt;"",40,"")</f>
        <v/>
      </c>
      <c r="B46" s="154">
        <f>IF(TRADE_LOG!A43&lt;&gt;"",TRADE_LOG!A43,"")</f>
        <v/>
      </c>
      <c r="C46" s="154">
        <f>IF(TRADE_LOG!H43&lt;&gt;"",TRADE_LOG!H43,"")</f>
        <v/>
      </c>
      <c r="D46" s="155">
        <f>IF(C46&lt;&gt;"",D45+C46,"")</f>
        <v/>
      </c>
      <c r="E46" s="156">
        <f>IFERROR(COUNTIF(TRADE_LOG!H$4:H$43,"&gt;0")/COUNTA(TRADE_LOG!H$4:H$43),"")</f>
        <v/>
      </c>
    </row>
    <row r="47" ht="15.75" customHeight="1" s="98">
      <c r="A47" s="151">
        <f>IF(TRADE_LOG!A44&lt;&gt;"",41,"")</f>
        <v/>
      </c>
      <c r="B47" s="151">
        <f>IF(TRADE_LOG!A44&lt;&gt;"",TRADE_LOG!A44,"")</f>
        <v/>
      </c>
      <c r="C47" s="151">
        <f>IF(TRADE_LOG!H44&lt;&gt;"",TRADE_LOG!H44,"")</f>
        <v/>
      </c>
      <c r="D47" s="152">
        <f>IF(C47&lt;&gt;"",D46+C47,"")</f>
        <v/>
      </c>
      <c r="E47" s="153">
        <f>IFERROR(COUNTIF(TRADE_LOG!H$4:H$44,"&gt;0")/COUNTA(TRADE_LOG!H$4:H$44),"")</f>
        <v/>
      </c>
    </row>
    <row r="48" ht="15.75" customHeight="1" s="98">
      <c r="A48" s="154">
        <f>IF(TRADE_LOG!A45&lt;&gt;"",42,"")</f>
        <v/>
      </c>
      <c r="B48" s="154">
        <f>IF(TRADE_LOG!A45&lt;&gt;"",TRADE_LOG!A45,"")</f>
        <v/>
      </c>
      <c r="C48" s="154">
        <f>IF(TRADE_LOG!H45&lt;&gt;"",TRADE_LOG!H45,"")</f>
        <v/>
      </c>
      <c r="D48" s="155">
        <f>IF(C48&lt;&gt;"",D47+C48,"")</f>
        <v/>
      </c>
      <c r="E48" s="156">
        <f>IFERROR(COUNTIF(TRADE_LOG!H$4:H$45,"&gt;0")/COUNTA(TRADE_LOG!H$4:H$45),"")</f>
        <v/>
      </c>
    </row>
    <row r="49" ht="15.75" customHeight="1" s="98">
      <c r="A49" s="151">
        <f>IF(TRADE_LOG!A46&lt;&gt;"",43,"")</f>
        <v/>
      </c>
      <c r="B49" s="151">
        <f>IF(TRADE_LOG!A46&lt;&gt;"",TRADE_LOG!A46,"")</f>
        <v/>
      </c>
      <c r="C49" s="151">
        <f>IF(TRADE_LOG!H46&lt;&gt;"",TRADE_LOG!H46,"")</f>
        <v/>
      </c>
      <c r="D49" s="152">
        <f>IF(C49&lt;&gt;"",D48+C49,"")</f>
        <v/>
      </c>
      <c r="E49" s="153">
        <f>IFERROR(COUNTIF(TRADE_LOG!H$4:H$46,"&gt;0")/COUNTA(TRADE_LOG!H$4:H$46),"")</f>
        <v/>
      </c>
    </row>
    <row r="50" ht="15.75" customHeight="1" s="98">
      <c r="A50" s="154">
        <f>IF(TRADE_LOG!A47&lt;&gt;"",44,"")</f>
        <v/>
      </c>
      <c r="B50" s="154">
        <f>IF(TRADE_LOG!A47&lt;&gt;"",TRADE_LOG!A47,"")</f>
        <v/>
      </c>
      <c r="C50" s="154">
        <f>IF(TRADE_LOG!H47&lt;&gt;"",TRADE_LOG!H47,"")</f>
        <v/>
      </c>
      <c r="D50" s="155">
        <f>IF(C50&lt;&gt;"",D49+C50,"")</f>
        <v/>
      </c>
      <c r="E50" s="156">
        <f>IFERROR(COUNTIF(TRADE_LOG!H$4:H$47,"&gt;0")/COUNTA(TRADE_LOG!H$4:H$47),"")</f>
        <v/>
      </c>
    </row>
    <row r="51" ht="15.75" customHeight="1" s="98">
      <c r="A51" s="151">
        <f>IF(TRADE_LOG!A48&lt;&gt;"",45,"")</f>
        <v/>
      </c>
      <c r="B51" s="151">
        <f>IF(TRADE_LOG!A48&lt;&gt;"",TRADE_LOG!A48,"")</f>
        <v/>
      </c>
      <c r="C51" s="151">
        <f>IF(TRADE_LOG!H48&lt;&gt;"",TRADE_LOG!H48,"")</f>
        <v/>
      </c>
      <c r="D51" s="152">
        <f>IF(C51&lt;&gt;"",D50+C51,"")</f>
        <v/>
      </c>
      <c r="E51" s="153">
        <f>IFERROR(COUNTIF(TRADE_LOG!H$4:H$48,"&gt;0")/COUNTA(TRADE_LOG!H$4:H$48),"")</f>
        <v/>
      </c>
    </row>
    <row r="52" ht="15.75" customHeight="1" s="98">
      <c r="A52" s="154">
        <f>IF(TRADE_LOG!A49&lt;&gt;"",46,"")</f>
        <v/>
      </c>
      <c r="B52" s="154">
        <f>IF(TRADE_LOG!A49&lt;&gt;"",TRADE_LOG!A49,"")</f>
        <v/>
      </c>
      <c r="C52" s="154">
        <f>IF(TRADE_LOG!H49&lt;&gt;"",TRADE_LOG!H49,"")</f>
        <v/>
      </c>
      <c r="D52" s="155">
        <f>IF(C52&lt;&gt;"",D51+C52,"")</f>
        <v/>
      </c>
      <c r="E52" s="156">
        <f>IFERROR(COUNTIF(TRADE_LOG!H$4:H$49,"&gt;0")/COUNTA(TRADE_LOG!H$4:H$49),"")</f>
        <v/>
      </c>
    </row>
    <row r="53" ht="15.75" customHeight="1" s="98">
      <c r="A53" s="151">
        <f>IF(TRADE_LOG!A50&lt;&gt;"",47,"")</f>
        <v/>
      </c>
      <c r="B53" s="151">
        <f>IF(TRADE_LOG!A50&lt;&gt;"",TRADE_LOG!A50,"")</f>
        <v/>
      </c>
      <c r="C53" s="151">
        <f>IF(TRADE_LOG!H50&lt;&gt;"",TRADE_LOG!H50,"")</f>
        <v/>
      </c>
      <c r="D53" s="152">
        <f>IF(C53&lt;&gt;"",D52+C53,"")</f>
        <v/>
      </c>
      <c r="E53" s="153">
        <f>IFERROR(COUNTIF(TRADE_LOG!H$4:H$50,"&gt;0")/COUNTA(TRADE_LOG!H$4:H$50),"")</f>
        <v/>
      </c>
    </row>
    <row r="54" ht="15.75" customHeight="1" s="98">
      <c r="A54" s="154">
        <f>IF(TRADE_LOG!A51&lt;&gt;"",48,"")</f>
        <v/>
      </c>
      <c r="B54" s="154">
        <f>IF(TRADE_LOG!A51&lt;&gt;"",TRADE_LOG!A51,"")</f>
        <v/>
      </c>
      <c r="C54" s="154">
        <f>IF(TRADE_LOG!H51&lt;&gt;"",TRADE_LOG!H51,"")</f>
        <v/>
      </c>
      <c r="D54" s="155">
        <f>IF(C54&lt;&gt;"",D53+C54,"")</f>
        <v/>
      </c>
      <c r="E54" s="156">
        <f>IFERROR(COUNTIF(TRADE_LOG!H$4:H$51,"&gt;0")/COUNTA(TRADE_LOG!H$4:H$51),"")</f>
        <v/>
      </c>
    </row>
    <row r="55" ht="15.75" customHeight="1" s="98">
      <c r="A55" s="151">
        <f>IF(TRADE_LOG!A52&lt;&gt;"",49,"")</f>
        <v/>
      </c>
      <c r="B55" s="151">
        <f>IF(TRADE_LOG!A52&lt;&gt;"",TRADE_LOG!A52,"")</f>
        <v/>
      </c>
      <c r="C55" s="151">
        <f>IF(TRADE_LOG!H52&lt;&gt;"",TRADE_LOG!H52,"")</f>
        <v/>
      </c>
      <c r="D55" s="152">
        <f>IF(C55&lt;&gt;"",D54+C55,"")</f>
        <v/>
      </c>
      <c r="E55" s="153">
        <f>IFERROR(COUNTIF(TRADE_LOG!H$4:H$52,"&gt;0")/COUNTA(TRADE_LOG!H$4:H$52),"")</f>
        <v/>
      </c>
    </row>
    <row r="56" ht="15.75" customHeight="1" s="98">
      <c r="A56" s="154">
        <f>IF(TRADE_LOG!A53&lt;&gt;"",50,"")</f>
        <v/>
      </c>
      <c r="B56" s="154">
        <f>IF(TRADE_LOG!A53&lt;&gt;"",TRADE_LOG!A53,"")</f>
        <v/>
      </c>
      <c r="C56" s="154">
        <f>IF(TRADE_LOG!H53&lt;&gt;"",TRADE_LOG!H53,"")</f>
        <v/>
      </c>
      <c r="D56" s="155">
        <f>IF(C56&lt;&gt;"",D55+C56,"")</f>
        <v/>
      </c>
      <c r="E56" s="156">
        <f>IFERROR(COUNTIF(TRADE_LOG!H$4:H$53,"&gt;0")/COUNTA(TRADE_LOG!H$4:H$53),"")</f>
        <v/>
      </c>
    </row>
    <row r="57" ht="15.75" customHeight="1" s="98">
      <c r="A57" s="151">
        <f>IF(TRADE_LOG!A54&lt;&gt;"",51,"")</f>
        <v/>
      </c>
      <c r="B57" s="151">
        <f>IF(TRADE_LOG!A54&lt;&gt;"",TRADE_LOG!A54,"")</f>
        <v/>
      </c>
      <c r="C57" s="151">
        <f>IF(TRADE_LOG!H54&lt;&gt;"",TRADE_LOG!H54,"")</f>
        <v/>
      </c>
      <c r="D57" s="152">
        <f>IF(C57&lt;&gt;"",D56+C57,"")</f>
        <v/>
      </c>
      <c r="E57" s="153">
        <f>IFERROR(COUNTIF(TRADE_LOG!H$4:H$54,"&gt;0")/COUNTA(TRADE_LOG!H$4:H$54),"")</f>
        <v/>
      </c>
    </row>
    <row r="58" ht="15.75" customHeight="1" s="98">
      <c r="A58" s="154">
        <f>IF(TRADE_LOG!A55&lt;&gt;"",52,"")</f>
        <v/>
      </c>
      <c r="B58" s="154">
        <f>IF(TRADE_LOG!A55&lt;&gt;"",TRADE_LOG!A55,"")</f>
        <v/>
      </c>
      <c r="C58" s="154">
        <f>IF(TRADE_LOG!H55&lt;&gt;"",TRADE_LOG!H55,"")</f>
        <v/>
      </c>
      <c r="D58" s="155">
        <f>IF(C58&lt;&gt;"",D57+C58,"")</f>
        <v/>
      </c>
      <c r="E58" s="156">
        <f>IFERROR(COUNTIF(TRADE_LOG!H$4:H$55,"&gt;0")/COUNTA(TRADE_LOG!H$4:H$55),"")</f>
        <v/>
      </c>
    </row>
    <row r="59" ht="15.75" customHeight="1" s="98">
      <c r="A59" s="151">
        <f>IF(TRADE_LOG!A56&lt;&gt;"",53,"")</f>
        <v/>
      </c>
      <c r="B59" s="151">
        <f>IF(TRADE_LOG!A56&lt;&gt;"",TRADE_LOG!A56,"")</f>
        <v/>
      </c>
      <c r="C59" s="151">
        <f>IF(TRADE_LOG!H56&lt;&gt;"",TRADE_LOG!H56,"")</f>
        <v/>
      </c>
      <c r="D59" s="152">
        <f>IF(C59&lt;&gt;"",D58+C59,"")</f>
        <v/>
      </c>
      <c r="E59" s="153">
        <f>IFERROR(COUNTIF(TRADE_LOG!H$4:H$56,"&gt;0")/COUNTA(TRADE_LOG!H$4:H$56),"")</f>
        <v/>
      </c>
    </row>
    <row r="60" ht="15.75" customHeight="1" s="98">
      <c r="A60" s="154">
        <f>IF(TRADE_LOG!A57&lt;&gt;"",54,"")</f>
        <v/>
      </c>
      <c r="B60" s="154">
        <f>IF(TRADE_LOG!A57&lt;&gt;"",TRADE_LOG!A57,"")</f>
        <v/>
      </c>
      <c r="C60" s="154">
        <f>IF(TRADE_LOG!H57&lt;&gt;"",TRADE_LOG!H57,"")</f>
        <v/>
      </c>
      <c r="D60" s="155">
        <f>IF(C60&lt;&gt;"",D59+C60,"")</f>
        <v/>
      </c>
      <c r="E60" s="156">
        <f>IFERROR(COUNTIF(TRADE_LOG!H$4:H$57,"&gt;0")/COUNTA(TRADE_LOG!H$4:H$57),"")</f>
        <v/>
      </c>
    </row>
    <row r="61" ht="15.75" customHeight="1" s="98">
      <c r="A61" s="151">
        <f>IF(TRADE_LOG!A58&lt;&gt;"",55,"")</f>
        <v/>
      </c>
      <c r="B61" s="151">
        <f>IF(TRADE_LOG!A58&lt;&gt;"",TRADE_LOG!A58,"")</f>
        <v/>
      </c>
      <c r="C61" s="151">
        <f>IF(TRADE_LOG!H58&lt;&gt;"",TRADE_LOG!H58,"")</f>
        <v/>
      </c>
      <c r="D61" s="152">
        <f>IF(C61&lt;&gt;"",D60+C61,"")</f>
        <v/>
      </c>
      <c r="E61" s="153">
        <f>IFERROR(COUNTIF(TRADE_LOG!H$4:H$58,"&gt;0")/COUNTA(TRADE_LOG!H$4:H$58),"")</f>
        <v/>
      </c>
    </row>
    <row r="62" ht="15.75" customHeight="1" s="98">
      <c r="A62" s="154">
        <f>IF(TRADE_LOG!A59&lt;&gt;"",56,"")</f>
        <v/>
      </c>
      <c r="B62" s="154">
        <f>IF(TRADE_LOG!A59&lt;&gt;"",TRADE_LOG!A59,"")</f>
        <v/>
      </c>
      <c r="C62" s="154">
        <f>IF(TRADE_LOG!H59&lt;&gt;"",TRADE_LOG!H59,"")</f>
        <v/>
      </c>
      <c r="D62" s="155">
        <f>IF(C62&lt;&gt;"",D61+C62,"")</f>
        <v/>
      </c>
      <c r="E62" s="156">
        <f>IFERROR(COUNTIF(TRADE_LOG!H$4:H$59,"&gt;0")/COUNTA(TRADE_LOG!H$4:H$59),"")</f>
        <v/>
      </c>
    </row>
    <row r="63" ht="15.75" customHeight="1" s="98">
      <c r="A63" s="151">
        <f>IF(TRADE_LOG!A60&lt;&gt;"",57,"")</f>
        <v/>
      </c>
      <c r="B63" s="151">
        <f>IF(TRADE_LOG!A60&lt;&gt;"",TRADE_LOG!A60,"")</f>
        <v/>
      </c>
      <c r="C63" s="151">
        <f>IF(TRADE_LOG!H60&lt;&gt;"",TRADE_LOG!H60,"")</f>
        <v/>
      </c>
      <c r="D63" s="152">
        <f>IF(C63&lt;&gt;"",D62+C63,"")</f>
        <v/>
      </c>
      <c r="E63" s="153">
        <f>IFERROR(COUNTIF(TRADE_LOG!H$4:H$60,"&gt;0")/COUNTA(TRADE_LOG!H$4:H$60),"")</f>
        <v/>
      </c>
    </row>
    <row r="64" ht="15.75" customHeight="1" s="98">
      <c r="A64" s="154">
        <f>IF(TRADE_LOG!A61&lt;&gt;"",58,"")</f>
        <v/>
      </c>
      <c r="B64" s="154">
        <f>IF(TRADE_LOG!A61&lt;&gt;"",TRADE_LOG!A61,"")</f>
        <v/>
      </c>
      <c r="C64" s="154">
        <f>IF(TRADE_LOG!H61&lt;&gt;"",TRADE_LOG!H61,"")</f>
        <v/>
      </c>
      <c r="D64" s="155">
        <f>IF(C64&lt;&gt;"",D63+C64,"")</f>
        <v/>
      </c>
      <c r="E64" s="156">
        <f>IFERROR(COUNTIF(TRADE_LOG!H$4:H$61,"&gt;0")/COUNTA(TRADE_LOG!H$4:H$61),"")</f>
        <v/>
      </c>
    </row>
    <row r="65" ht="15.75" customHeight="1" s="98">
      <c r="A65" s="151">
        <f>IF(TRADE_LOG!A62&lt;&gt;"",59,"")</f>
        <v/>
      </c>
      <c r="B65" s="151">
        <f>IF(TRADE_LOG!A62&lt;&gt;"",TRADE_LOG!A62,"")</f>
        <v/>
      </c>
      <c r="C65" s="151">
        <f>IF(TRADE_LOG!H62&lt;&gt;"",TRADE_LOG!H62,"")</f>
        <v/>
      </c>
      <c r="D65" s="152">
        <f>IF(C65&lt;&gt;"",D64+C65,"")</f>
        <v/>
      </c>
      <c r="E65" s="153">
        <f>IFERROR(COUNTIF(TRADE_LOG!H$4:H$62,"&gt;0")/COUNTA(TRADE_LOG!H$4:H$62),"")</f>
        <v/>
      </c>
    </row>
    <row r="66" ht="15.75" customHeight="1" s="98">
      <c r="A66" s="154">
        <f>IF(TRADE_LOG!A63&lt;&gt;"",60,"")</f>
        <v/>
      </c>
      <c r="B66" s="154">
        <f>IF(TRADE_LOG!A63&lt;&gt;"",TRADE_LOG!A63,"")</f>
        <v/>
      </c>
      <c r="C66" s="154">
        <f>IF(TRADE_LOG!H63&lt;&gt;"",TRADE_LOG!H63,"")</f>
        <v/>
      </c>
      <c r="D66" s="155">
        <f>IF(C66&lt;&gt;"",D65+C66,"")</f>
        <v/>
      </c>
      <c r="E66" s="156">
        <f>IFERROR(COUNTIF(TRADE_LOG!H$4:H$63,"&gt;0")/COUNTA(TRADE_LOG!H$4:H$63),"")</f>
        <v/>
      </c>
    </row>
    <row r="67" ht="15.75" customHeight="1" s="98">
      <c r="A67" s="151">
        <f>IF(TRADE_LOG!A64&lt;&gt;"",61,"")</f>
        <v/>
      </c>
      <c r="B67" s="151">
        <f>IF(TRADE_LOG!A64&lt;&gt;"",TRADE_LOG!A64,"")</f>
        <v/>
      </c>
      <c r="C67" s="151">
        <f>IF(TRADE_LOG!H64&lt;&gt;"",TRADE_LOG!H64,"")</f>
        <v/>
      </c>
      <c r="D67" s="152">
        <f>IF(C67&lt;&gt;"",D66+C67,"")</f>
        <v/>
      </c>
      <c r="E67" s="153">
        <f>IFERROR(COUNTIF(TRADE_LOG!H$4:H$64,"&gt;0")/COUNTA(TRADE_LOG!H$4:H$64),"")</f>
        <v/>
      </c>
    </row>
    <row r="68" ht="15.75" customHeight="1" s="98">
      <c r="A68" s="154">
        <f>IF(TRADE_LOG!A65&lt;&gt;"",62,"")</f>
        <v/>
      </c>
      <c r="B68" s="154">
        <f>IF(TRADE_LOG!A65&lt;&gt;"",TRADE_LOG!A65,"")</f>
        <v/>
      </c>
      <c r="C68" s="154">
        <f>IF(TRADE_LOG!H65&lt;&gt;"",TRADE_LOG!H65,"")</f>
        <v/>
      </c>
      <c r="D68" s="155">
        <f>IF(C68&lt;&gt;"",D67+C68,"")</f>
        <v/>
      </c>
      <c r="E68" s="156">
        <f>IFERROR(COUNTIF(TRADE_LOG!H$4:H$65,"&gt;0")/COUNTA(TRADE_LOG!H$4:H$65),"")</f>
        <v/>
      </c>
    </row>
    <row r="69" ht="15.75" customHeight="1" s="98">
      <c r="A69" s="151">
        <f>IF(TRADE_LOG!A66&lt;&gt;"",63,"")</f>
        <v/>
      </c>
      <c r="B69" s="151">
        <f>IF(TRADE_LOG!A66&lt;&gt;"",TRADE_LOG!A66,"")</f>
        <v/>
      </c>
      <c r="C69" s="151">
        <f>IF(TRADE_LOG!H66&lt;&gt;"",TRADE_LOG!H66,"")</f>
        <v/>
      </c>
      <c r="D69" s="152">
        <f>IF(C69&lt;&gt;"",D68+C69,"")</f>
        <v/>
      </c>
      <c r="E69" s="153">
        <f>IFERROR(COUNTIF(TRADE_LOG!H$4:H$66,"&gt;0")/COUNTA(TRADE_LOG!H$4:H$66),"")</f>
        <v/>
      </c>
    </row>
    <row r="70" ht="15.75" customHeight="1" s="98">
      <c r="A70" s="154">
        <f>IF(TRADE_LOG!A67&lt;&gt;"",64,"")</f>
        <v/>
      </c>
      <c r="B70" s="154">
        <f>IF(TRADE_LOG!A67&lt;&gt;"",TRADE_LOG!A67,"")</f>
        <v/>
      </c>
      <c r="C70" s="154">
        <f>IF(TRADE_LOG!H67&lt;&gt;"",TRADE_LOG!H67,"")</f>
        <v/>
      </c>
      <c r="D70" s="155">
        <f>IF(C70&lt;&gt;"",D69+C70,"")</f>
        <v/>
      </c>
      <c r="E70" s="156">
        <f>IFERROR(COUNTIF(TRADE_LOG!H$4:H$67,"&gt;0")/COUNTA(TRADE_LOG!H$4:H$67),"")</f>
        <v/>
      </c>
    </row>
    <row r="71" ht="15.75" customHeight="1" s="98">
      <c r="A71" s="151">
        <f>IF(TRADE_LOG!A68&lt;&gt;"",65,"")</f>
        <v/>
      </c>
      <c r="B71" s="151">
        <f>IF(TRADE_LOG!A68&lt;&gt;"",TRADE_LOG!A68,"")</f>
        <v/>
      </c>
      <c r="C71" s="151">
        <f>IF(TRADE_LOG!H68&lt;&gt;"",TRADE_LOG!H68,"")</f>
        <v/>
      </c>
      <c r="D71" s="152">
        <f>IF(C71&lt;&gt;"",D70+C71,"")</f>
        <v/>
      </c>
      <c r="E71" s="153">
        <f>IFERROR(COUNTIF(TRADE_LOG!H$4:H$68,"&gt;0")/COUNTA(TRADE_LOG!H$4:H$68),"")</f>
        <v/>
      </c>
    </row>
    <row r="72" ht="15.75" customHeight="1" s="98">
      <c r="A72" s="154">
        <f>IF(TRADE_LOG!A69&lt;&gt;"",66,"")</f>
        <v/>
      </c>
      <c r="B72" s="154">
        <f>IF(TRADE_LOG!A69&lt;&gt;"",TRADE_LOG!A69,"")</f>
        <v/>
      </c>
      <c r="C72" s="154">
        <f>IF(TRADE_LOG!H69&lt;&gt;"",TRADE_LOG!H69,"")</f>
        <v/>
      </c>
      <c r="D72" s="155">
        <f>IF(C72&lt;&gt;"",D71+C72,"")</f>
        <v/>
      </c>
      <c r="E72" s="156">
        <f>IFERROR(COUNTIF(TRADE_LOG!H$4:H$69,"&gt;0")/COUNTA(TRADE_LOG!H$4:H$69),"")</f>
        <v/>
      </c>
    </row>
    <row r="73" ht="15.75" customHeight="1" s="98">
      <c r="A73" s="151">
        <f>IF(TRADE_LOG!A70&lt;&gt;"",67,"")</f>
        <v/>
      </c>
      <c r="B73" s="151">
        <f>IF(TRADE_LOG!A70&lt;&gt;"",TRADE_LOG!A70,"")</f>
        <v/>
      </c>
      <c r="C73" s="151">
        <f>IF(TRADE_LOG!H70&lt;&gt;"",TRADE_LOG!H70,"")</f>
        <v/>
      </c>
      <c r="D73" s="152">
        <f>IF(C73&lt;&gt;"",D72+C73,"")</f>
        <v/>
      </c>
      <c r="E73" s="153">
        <f>IFERROR(COUNTIF(TRADE_LOG!H$4:H$70,"&gt;0")/COUNTA(TRADE_LOG!H$4:H$70),"")</f>
        <v/>
      </c>
    </row>
    <row r="74" ht="15.75" customHeight="1" s="98">
      <c r="A74" s="154">
        <f>IF(TRADE_LOG!A71&lt;&gt;"",68,"")</f>
        <v/>
      </c>
      <c r="B74" s="154">
        <f>IF(TRADE_LOG!A71&lt;&gt;"",TRADE_LOG!A71,"")</f>
        <v/>
      </c>
      <c r="C74" s="154">
        <f>IF(TRADE_LOG!H71&lt;&gt;"",TRADE_LOG!H71,"")</f>
        <v/>
      </c>
      <c r="D74" s="155">
        <f>IF(C74&lt;&gt;"",D73+C74,"")</f>
        <v/>
      </c>
      <c r="E74" s="156">
        <f>IFERROR(COUNTIF(TRADE_LOG!H$4:H$71,"&gt;0")/COUNTA(TRADE_LOG!H$4:H$71),"")</f>
        <v/>
      </c>
    </row>
    <row r="75" ht="15.75" customHeight="1" s="98">
      <c r="A75" s="151">
        <f>IF(TRADE_LOG!A72&lt;&gt;"",69,"")</f>
        <v/>
      </c>
      <c r="B75" s="151">
        <f>IF(TRADE_LOG!A72&lt;&gt;"",TRADE_LOG!A72,"")</f>
        <v/>
      </c>
      <c r="C75" s="151">
        <f>IF(TRADE_LOG!H72&lt;&gt;"",TRADE_LOG!H72,"")</f>
        <v/>
      </c>
      <c r="D75" s="152">
        <f>IF(C75&lt;&gt;"",D74+C75,"")</f>
        <v/>
      </c>
      <c r="E75" s="153">
        <f>IFERROR(COUNTIF(TRADE_LOG!H$4:H$72,"&gt;0")/COUNTA(TRADE_LOG!H$4:H$72),"")</f>
        <v/>
      </c>
    </row>
    <row r="76" ht="15.75" customHeight="1" s="98">
      <c r="A76" s="154">
        <f>IF(TRADE_LOG!A73&lt;&gt;"",70,"")</f>
        <v/>
      </c>
      <c r="B76" s="154">
        <f>IF(TRADE_LOG!A73&lt;&gt;"",TRADE_LOG!A73,"")</f>
        <v/>
      </c>
      <c r="C76" s="154">
        <f>IF(TRADE_LOG!H73&lt;&gt;"",TRADE_LOG!H73,"")</f>
        <v/>
      </c>
      <c r="D76" s="155">
        <f>IF(C76&lt;&gt;"",D75+C76,"")</f>
        <v/>
      </c>
      <c r="E76" s="156">
        <f>IFERROR(COUNTIF(TRADE_LOG!H$4:H$73,"&gt;0")/COUNTA(TRADE_LOG!H$4:H$73),"")</f>
        <v/>
      </c>
    </row>
    <row r="77" ht="15.75" customHeight="1" s="98">
      <c r="A77" s="151">
        <f>IF(TRADE_LOG!A74&lt;&gt;"",71,"")</f>
        <v/>
      </c>
      <c r="B77" s="151">
        <f>IF(TRADE_LOG!A74&lt;&gt;"",TRADE_LOG!A74,"")</f>
        <v/>
      </c>
      <c r="C77" s="151">
        <f>IF(TRADE_LOG!H74&lt;&gt;"",TRADE_LOG!H74,"")</f>
        <v/>
      </c>
      <c r="D77" s="152">
        <f>IF(C77&lt;&gt;"",D76+C77,"")</f>
        <v/>
      </c>
      <c r="E77" s="153">
        <f>IFERROR(COUNTIF(TRADE_LOG!H$4:H$74,"&gt;0")/COUNTA(TRADE_LOG!H$4:H$74),"")</f>
        <v/>
      </c>
    </row>
    <row r="78" ht="15.75" customHeight="1" s="98">
      <c r="A78" s="154">
        <f>IF(TRADE_LOG!A75&lt;&gt;"",72,"")</f>
        <v/>
      </c>
      <c r="B78" s="154">
        <f>IF(TRADE_LOG!A75&lt;&gt;"",TRADE_LOG!A75,"")</f>
        <v/>
      </c>
      <c r="C78" s="154">
        <f>IF(TRADE_LOG!H75&lt;&gt;"",TRADE_LOG!H75,"")</f>
        <v/>
      </c>
      <c r="D78" s="155">
        <f>IF(C78&lt;&gt;"",D77+C78,"")</f>
        <v/>
      </c>
      <c r="E78" s="156">
        <f>IFERROR(COUNTIF(TRADE_LOG!H$4:H$75,"&gt;0")/COUNTA(TRADE_LOG!H$4:H$75),"")</f>
        <v/>
      </c>
    </row>
    <row r="79" ht="15.75" customHeight="1" s="98">
      <c r="A79" s="151">
        <f>IF(TRADE_LOG!A76&lt;&gt;"",73,"")</f>
        <v/>
      </c>
      <c r="B79" s="151">
        <f>IF(TRADE_LOG!A76&lt;&gt;"",TRADE_LOG!A76,"")</f>
        <v/>
      </c>
      <c r="C79" s="151">
        <f>IF(TRADE_LOG!H76&lt;&gt;"",TRADE_LOG!H76,"")</f>
        <v/>
      </c>
      <c r="D79" s="152">
        <f>IF(C79&lt;&gt;"",D78+C79,"")</f>
        <v/>
      </c>
      <c r="E79" s="153">
        <f>IFERROR(COUNTIF(TRADE_LOG!H$4:H$76,"&gt;0")/COUNTA(TRADE_LOG!H$4:H$76),"")</f>
        <v/>
      </c>
    </row>
    <row r="80" ht="15.75" customHeight="1" s="98">
      <c r="A80" s="154">
        <f>IF(TRADE_LOG!A77&lt;&gt;"",74,"")</f>
        <v/>
      </c>
      <c r="B80" s="154">
        <f>IF(TRADE_LOG!A77&lt;&gt;"",TRADE_LOG!A77,"")</f>
        <v/>
      </c>
      <c r="C80" s="154">
        <f>IF(TRADE_LOG!H77&lt;&gt;"",TRADE_LOG!H77,"")</f>
        <v/>
      </c>
      <c r="D80" s="155">
        <f>IF(C80&lt;&gt;"",D79+C80,"")</f>
        <v/>
      </c>
      <c r="E80" s="156">
        <f>IFERROR(COUNTIF(TRADE_LOG!H$4:H$77,"&gt;0")/COUNTA(TRADE_LOG!H$4:H$77),"")</f>
        <v/>
      </c>
    </row>
    <row r="81" ht="15.75" customHeight="1" s="98">
      <c r="A81" s="151">
        <f>IF(TRADE_LOG!A78&lt;&gt;"",75,"")</f>
        <v/>
      </c>
      <c r="B81" s="151">
        <f>IF(TRADE_LOG!A78&lt;&gt;"",TRADE_LOG!A78,"")</f>
        <v/>
      </c>
      <c r="C81" s="151">
        <f>IF(TRADE_LOG!H78&lt;&gt;"",TRADE_LOG!H78,"")</f>
        <v/>
      </c>
      <c r="D81" s="152">
        <f>IF(C81&lt;&gt;"",D80+C81,"")</f>
        <v/>
      </c>
      <c r="E81" s="153">
        <f>IFERROR(COUNTIF(TRADE_LOG!H$4:H$78,"&gt;0")/COUNTA(TRADE_LOG!H$4:H$78),"")</f>
        <v/>
      </c>
    </row>
    <row r="82" ht="15.75" customHeight="1" s="98">
      <c r="A82" s="154">
        <f>IF(TRADE_LOG!A79&lt;&gt;"",76,"")</f>
        <v/>
      </c>
      <c r="B82" s="154">
        <f>IF(TRADE_LOG!A79&lt;&gt;"",TRADE_LOG!A79,"")</f>
        <v/>
      </c>
      <c r="C82" s="154">
        <f>IF(TRADE_LOG!H79&lt;&gt;"",TRADE_LOG!H79,"")</f>
        <v/>
      </c>
      <c r="D82" s="155">
        <f>IF(C82&lt;&gt;"",D81+C82,"")</f>
        <v/>
      </c>
      <c r="E82" s="156">
        <f>IFERROR(COUNTIF(TRADE_LOG!H$4:H$79,"&gt;0")/COUNTA(TRADE_LOG!H$4:H$79),"")</f>
        <v/>
      </c>
    </row>
    <row r="83" ht="15.75" customHeight="1" s="98">
      <c r="A83" s="151">
        <f>IF(TRADE_LOG!A80&lt;&gt;"",77,"")</f>
        <v/>
      </c>
      <c r="B83" s="151">
        <f>IF(TRADE_LOG!A80&lt;&gt;"",TRADE_LOG!A80,"")</f>
        <v/>
      </c>
      <c r="C83" s="151">
        <f>IF(TRADE_LOG!H80&lt;&gt;"",TRADE_LOG!H80,"")</f>
        <v/>
      </c>
      <c r="D83" s="152">
        <f>IF(C83&lt;&gt;"",D82+C83,"")</f>
        <v/>
      </c>
      <c r="E83" s="153">
        <f>IFERROR(COUNTIF(TRADE_LOG!H$4:H$80,"&gt;0")/COUNTA(TRADE_LOG!H$4:H$80),"")</f>
        <v/>
      </c>
    </row>
    <row r="84" ht="15.75" customHeight="1" s="98">
      <c r="A84" s="154">
        <f>IF(TRADE_LOG!A81&lt;&gt;"",78,"")</f>
        <v/>
      </c>
      <c r="B84" s="154">
        <f>IF(TRADE_LOG!A81&lt;&gt;"",TRADE_LOG!A81,"")</f>
        <v/>
      </c>
      <c r="C84" s="154">
        <f>IF(TRADE_LOG!H81&lt;&gt;"",TRADE_LOG!H81,"")</f>
        <v/>
      </c>
      <c r="D84" s="155">
        <f>IF(C84&lt;&gt;"",D83+C84,"")</f>
        <v/>
      </c>
      <c r="E84" s="156">
        <f>IFERROR(COUNTIF(TRADE_LOG!H$4:H$81,"&gt;0")/COUNTA(TRADE_LOG!H$4:H$81),"")</f>
        <v/>
      </c>
    </row>
    <row r="85" ht="15.75" customHeight="1" s="98">
      <c r="A85" s="151">
        <f>IF(TRADE_LOG!A82&lt;&gt;"",79,"")</f>
        <v/>
      </c>
      <c r="B85" s="151">
        <f>IF(TRADE_LOG!A82&lt;&gt;"",TRADE_LOG!A82,"")</f>
        <v/>
      </c>
      <c r="C85" s="151">
        <f>IF(TRADE_LOG!H82&lt;&gt;"",TRADE_LOG!H82,"")</f>
        <v/>
      </c>
      <c r="D85" s="152">
        <f>IF(C85&lt;&gt;"",D84+C85,"")</f>
        <v/>
      </c>
      <c r="E85" s="153">
        <f>IFERROR(COUNTIF(TRADE_LOG!H$4:H$82,"&gt;0")/COUNTA(TRADE_LOG!H$4:H$82),"")</f>
        <v/>
      </c>
    </row>
    <row r="86" ht="15.75" customHeight="1" s="98">
      <c r="A86" s="154">
        <f>IF(TRADE_LOG!A83&lt;&gt;"",80,"")</f>
        <v/>
      </c>
      <c r="B86" s="154">
        <f>IF(TRADE_LOG!A83&lt;&gt;"",TRADE_LOG!A83,"")</f>
        <v/>
      </c>
      <c r="C86" s="154">
        <f>IF(TRADE_LOG!H83&lt;&gt;"",TRADE_LOG!H83,"")</f>
        <v/>
      </c>
      <c r="D86" s="155">
        <f>IF(C86&lt;&gt;"",D85+C86,"")</f>
        <v/>
      </c>
      <c r="E86" s="156">
        <f>IFERROR(COUNTIF(TRADE_LOG!H$4:H$83,"&gt;0")/COUNTA(TRADE_LOG!H$4:H$83),"")</f>
        <v/>
      </c>
    </row>
    <row r="87" ht="15.75" customHeight="1" s="98">
      <c r="A87" s="151">
        <f>IF(TRADE_LOG!A84&lt;&gt;"",81,"")</f>
        <v/>
      </c>
      <c r="B87" s="151">
        <f>IF(TRADE_LOG!A84&lt;&gt;"",TRADE_LOG!A84,"")</f>
        <v/>
      </c>
      <c r="C87" s="151">
        <f>IF(TRADE_LOG!H84&lt;&gt;"",TRADE_LOG!H84,"")</f>
        <v/>
      </c>
      <c r="D87" s="152">
        <f>IF(C87&lt;&gt;"",D86+C87,"")</f>
        <v/>
      </c>
      <c r="E87" s="153">
        <f>IFERROR(COUNTIF(TRADE_LOG!H$4:H$84,"&gt;0")/COUNTA(TRADE_LOG!H$4:H$84),"")</f>
        <v/>
      </c>
    </row>
    <row r="88" ht="15.75" customHeight="1" s="98">
      <c r="A88" s="154">
        <f>IF(TRADE_LOG!A85&lt;&gt;"",82,"")</f>
        <v/>
      </c>
      <c r="B88" s="154">
        <f>IF(TRADE_LOG!A85&lt;&gt;"",TRADE_LOG!A85,"")</f>
        <v/>
      </c>
      <c r="C88" s="154">
        <f>IF(TRADE_LOG!H85&lt;&gt;"",TRADE_LOG!H85,"")</f>
        <v/>
      </c>
      <c r="D88" s="155">
        <f>IF(C88&lt;&gt;"",D87+C88,"")</f>
        <v/>
      </c>
      <c r="E88" s="156">
        <f>IFERROR(COUNTIF(TRADE_LOG!H$4:H$85,"&gt;0")/COUNTA(TRADE_LOG!H$4:H$85),"")</f>
        <v/>
      </c>
    </row>
    <row r="89" ht="15.75" customHeight="1" s="98">
      <c r="A89" s="151">
        <f>IF(TRADE_LOG!A86&lt;&gt;"",83,"")</f>
        <v/>
      </c>
      <c r="B89" s="151">
        <f>IF(TRADE_LOG!A86&lt;&gt;"",TRADE_LOG!A86,"")</f>
        <v/>
      </c>
      <c r="C89" s="151">
        <f>IF(TRADE_LOG!H86&lt;&gt;"",TRADE_LOG!H86,"")</f>
        <v/>
      </c>
      <c r="D89" s="152">
        <f>IF(C89&lt;&gt;"",D88+C89,"")</f>
        <v/>
      </c>
      <c r="E89" s="153">
        <f>IFERROR(COUNTIF(TRADE_LOG!H$4:H$86,"&gt;0")/COUNTA(TRADE_LOG!H$4:H$86),"")</f>
        <v/>
      </c>
    </row>
    <row r="90" ht="15.75" customHeight="1" s="98">
      <c r="A90" s="154">
        <f>IF(TRADE_LOG!A87&lt;&gt;"",84,"")</f>
        <v/>
      </c>
      <c r="B90" s="154">
        <f>IF(TRADE_LOG!A87&lt;&gt;"",TRADE_LOG!A87,"")</f>
        <v/>
      </c>
      <c r="C90" s="154">
        <f>IF(TRADE_LOG!H87&lt;&gt;"",TRADE_LOG!H87,"")</f>
        <v/>
      </c>
      <c r="D90" s="155">
        <f>IF(C90&lt;&gt;"",D89+C90,"")</f>
        <v/>
      </c>
      <c r="E90" s="156">
        <f>IFERROR(COUNTIF(TRADE_LOG!H$4:H$87,"&gt;0")/COUNTA(TRADE_LOG!H$4:H$87),"")</f>
        <v/>
      </c>
    </row>
    <row r="91" ht="15.75" customHeight="1" s="98">
      <c r="A91" s="151">
        <f>IF(TRADE_LOG!A88&lt;&gt;"",85,"")</f>
        <v/>
      </c>
      <c r="B91" s="151">
        <f>IF(TRADE_LOG!A88&lt;&gt;"",TRADE_LOG!A88,"")</f>
        <v/>
      </c>
      <c r="C91" s="151">
        <f>IF(TRADE_LOG!H88&lt;&gt;"",TRADE_LOG!H88,"")</f>
        <v/>
      </c>
      <c r="D91" s="152">
        <f>IF(C91&lt;&gt;"",D90+C91,"")</f>
        <v/>
      </c>
      <c r="E91" s="153">
        <f>IFERROR(COUNTIF(TRADE_LOG!H$4:H$88,"&gt;0")/COUNTA(TRADE_LOG!H$4:H$88),"")</f>
        <v/>
      </c>
    </row>
    <row r="92" ht="15.75" customHeight="1" s="98">
      <c r="A92" s="154">
        <f>IF(TRADE_LOG!A89&lt;&gt;"",86,"")</f>
        <v/>
      </c>
      <c r="B92" s="154">
        <f>IF(TRADE_LOG!A89&lt;&gt;"",TRADE_LOG!A89,"")</f>
        <v/>
      </c>
      <c r="C92" s="154">
        <f>IF(TRADE_LOG!H89&lt;&gt;"",TRADE_LOG!H89,"")</f>
        <v/>
      </c>
      <c r="D92" s="155">
        <f>IF(C92&lt;&gt;"",D91+C92,"")</f>
        <v/>
      </c>
      <c r="E92" s="156">
        <f>IFERROR(COUNTIF(TRADE_LOG!H$4:H$89,"&gt;0")/COUNTA(TRADE_LOG!H$4:H$89),"")</f>
        <v/>
      </c>
    </row>
    <row r="93" ht="15.75" customHeight="1" s="98">
      <c r="A93" s="151">
        <f>IF(TRADE_LOG!A90&lt;&gt;"",87,"")</f>
        <v/>
      </c>
      <c r="B93" s="151">
        <f>IF(TRADE_LOG!A90&lt;&gt;"",TRADE_LOG!A90,"")</f>
        <v/>
      </c>
      <c r="C93" s="151">
        <f>IF(TRADE_LOG!H90&lt;&gt;"",TRADE_LOG!H90,"")</f>
        <v/>
      </c>
      <c r="D93" s="152">
        <f>IF(C93&lt;&gt;"",D92+C93,"")</f>
        <v/>
      </c>
      <c r="E93" s="153">
        <f>IFERROR(COUNTIF(TRADE_LOG!H$4:H$90,"&gt;0")/COUNTA(TRADE_LOG!H$4:H$90),"")</f>
        <v/>
      </c>
    </row>
    <row r="94" ht="15.75" customHeight="1" s="98">
      <c r="A94" s="154">
        <f>IF(TRADE_LOG!A91&lt;&gt;"",88,"")</f>
        <v/>
      </c>
      <c r="B94" s="154">
        <f>IF(TRADE_LOG!A91&lt;&gt;"",TRADE_LOG!A91,"")</f>
        <v/>
      </c>
      <c r="C94" s="154">
        <f>IF(TRADE_LOG!H91&lt;&gt;"",TRADE_LOG!H91,"")</f>
        <v/>
      </c>
      <c r="D94" s="155">
        <f>IF(C94&lt;&gt;"",D93+C94,"")</f>
        <v/>
      </c>
      <c r="E94" s="156">
        <f>IFERROR(COUNTIF(TRADE_LOG!H$4:H$91,"&gt;0")/COUNTA(TRADE_LOG!H$4:H$91),"")</f>
        <v/>
      </c>
    </row>
    <row r="95" ht="15.75" customHeight="1" s="98">
      <c r="A95" s="151">
        <f>IF(TRADE_LOG!A92&lt;&gt;"",89,"")</f>
        <v/>
      </c>
      <c r="B95" s="151">
        <f>IF(TRADE_LOG!A92&lt;&gt;"",TRADE_LOG!A92,"")</f>
        <v/>
      </c>
      <c r="C95" s="151">
        <f>IF(TRADE_LOG!H92&lt;&gt;"",TRADE_LOG!H92,"")</f>
        <v/>
      </c>
      <c r="D95" s="152">
        <f>IF(C95&lt;&gt;"",D94+C95,"")</f>
        <v/>
      </c>
      <c r="E95" s="153">
        <f>IFERROR(COUNTIF(TRADE_LOG!H$4:H$92,"&gt;0")/COUNTA(TRADE_LOG!H$4:H$92),"")</f>
        <v/>
      </c>
    </row>
    <row r="96" ht="15.75" customHeight="1" s="98">
      <c r="A96" s="154">
        <f>IF(TRADE_LOG!A93&lt;&gt;"",90,"")</f>
        <v/>
      </c>
      <c r="B96" s="154">
        <f>IF(TRADE_LOG!A93&lt;&gt;"",TRADE_LOG!A93,"")</f>
        <v/>
      </c>
      <c r="C96" s="154">
        <f>IF(TRADE_LOG!H93&lt;&gt;"",TRADE_LOG!H93,"")</f>
        <v/>
      </c>
      <c r="D96" s="155">
        <f>IF(C96&lt;&gt;"",D95+C96,"")</f>
        <v/>
      </c>
      <c r="E96" s="156">
        <f>IFERROR(COUNTIF(TRADE_LOG!H$4:H$93,"&gt;0")/COUNTA(TRADE_LOG!H$4:H$93),"")</f>
        <v/>
      </c>
    </row>
    <row r="97" ht="15.75" customHeight="1" s="98">
      <c r="A97" s="151">
        <f>IF(TRADE_LOG!A94&lt;&gt;"",91,"")</f>
        <v/>
      </c>
      <c r="B97" s="151">
        <f>IF(TRADE_LOG!A94&lt;&gt;"",TRADE_LOG!A94,"")</f>
        <v/>
      </c>
      <c r="C97" s="151">
        <f>IF(TRADE_LOG!H94&lt;&gt;"",TRADE_LOG!H94,"")</f>
        <v/>
      </c>
      <c r="D97" s="152">
        <f>IF(C97&lt;&gt;"",D96+C97,"")</f>
        <v/>
      </c>
      <c r="E97" s="153">
        <f>IFERROR(COUNTIF(TRADE_LOG!H$4:H$94,"&gt;0")/COUNTA(TRADE_LOG!H$4:H$94),"")</f>
        <v/>
      </c>
    </row>
    <row r="98" ht="15.75" customHeight="1" s="98">
      <c r="A98" s="154">
        <f>IF(TRADE_LOG!A95&lt;&gt;"",92,"")</f>
        <v/>
      </c>
      <c r="B98" s="154">
        <f>IF(TRADE_LOG!A95&lt;&gt;"",TRADE_LOG!A95,"")</f>
        <v/>
      </c>
      <c r="C98" s="154">
        <f>IF(TRADE_LOG!H95&lt;&gt;"",TRADE_LOG!H95,"")</f>
        <v/>
      </c>
      <c r="D98" s="155">
        <f>IF(C98&lt;&gt;"",D97+C98,"")</f>
        <v/>
      </c>
      <c r="E98" s="156">
        <f>IFERROR(COUNTIF(TRADE_LOG!H$4:H$95,"&gt;0")/COUNTA(TRADE_LOG!H$4:H$95),"")</f>
        <v/>
      </c>
    </row>
    <row r="99" ht="15.75" customHeight="1" s="98">
      <c r="A99" s="151">
        <f>IF(TRADE_LOG!A96&lt;&gt;"",93,"")</f>
        <v/>
      </c>
      <c r="B99" s="151">
        <f>IF(TRADE_LOG!A96&lt;&gt;"",TRADE_LOG!A96,"")</f>
        <v/>
      </c>
      <c r="C99" s="151">
        <f>IF(TRADE_LOG!H96&lt;&gt;"",TRADE_LOG!H96,"")</f>
        <v/>
      </c>
      <c r="D99" s="152">
        <f>IF(C99&lt;&gt;"",D98+C99,"")</f>
        <v/>
      </c>
      <c r="E99" s="153">
        <f>IFERROR(COUNTIF(TRADE_LOG!H$4:H$96,"&gt;0")/COUNTA(TRADE_LOG!H$4:H$96),"")</f>
        <v/>
      </c>
    </row>
    <row r="100" ht="15.75" customHeight="1" s="98">
      <c r="A100" s="154">
        <f>IF(TRADE_LOG!A97&lt;&gt;"",94,"")</f>
        <v/>
      </c>
      <c r="B100" s="154">
        <f>IF(TRADE_LOG!A97&lt;&gt;"",TRADE_LOG!A97,"")</f>
        <v/>
      </c>
      <c r="C100" s="154">
        <f>IF(TRADE_LOG!H97&lt;&gt;"",TRADE_LOG!H97,"")</f>
        <v/>
      </c>
      <c r="D100" s="155">
        <f>IF(C100&lt;&gt;"",D99+C100,"")</f>
        <v/>
      </c>
      <c r="E100" s="156">
        <f>IFERROR(COUNTIF(TRADE_LOG!H$4:H$97,"&gt;0")/COUNTA(TRADE_LOG!H$4:H$97),"")</f>
        <v/>
      </c>
    </row>
    <row r="101" ht="15.75" customHeight="1" s="98">
      <c r="A101" s="151">
        <f>IF(TRADE_LOG!A98&lt;&gt;"",95,"")</f>
        <v/>
      </c>
      <c r="B101" s="151">
        <f>IF(TRADE_LOG!A98&lt;&gt;"",TRADE_LOG!A98,"")</f>
        <v/>
      </c>
      <c r="C101" s="151">
        <f>IF(TRADE_LOG!H98&lt;&gt;"",TRADE_LOG!H98,"")</f>
        <v/>
      </c>
      <c r="D101" s="152">
        <f>IF(C101&lt;&gt;"",D100+C101,"")</f>
        <v/>
      </c>
      <c r="E101" s="153">
        <f>IFERROR(COUNTIF(TRADE_LOG!H$4:H$98,"&gt;0")/COUNTA(TRADE_LOG!H$4:H$98),"")</f>
        <v/>
      </c>
    </row>
    <row r="102" ht="15.75" customHeight="1" s="98">
      <c r="A102" s="154">
        <f>IF(TRADE_LOG!A99&lt;&gt;"",96,"")</f>
        <v/>
      </c>
      <c r="B102" s="154">
        <f>IF(TRADE_LOG!A99&lt;&gt;"",TRADE_LOG!A99,"")</f>
        <v/>
      </c>
      <c r="C102" s="154">
        <f>IF(TRADE_LOG!H99&lt;&gt;"",TRADE_LOG!H99,"")</f>
        <v/>
      </c>
      <c r="D102" s="155">
        <f>IF(C102&lt;&gt;"",D101+C102,"")</f>
        <v/>
      </c>
      <c r="E102" s="156">
        <f>IFERROR(COUNTIF(TRADE_LOG!H$4:H$99,"&gt;0")/COUNTA(TRADE_LOG!H$4:H$99),"")</f>
        <v/>
      </c>
    </row>
    <row r="103" ht="15.75" customHeight="1" s="98">
      <c r="A103" s="151">
        <f>IF(TRADE_LOG!A100&lt;&gt;"",97,"")</f>
        <v/>
      </c>
      <c r="B103" s="151">
        <f>IF(TRADE_LOG!A100&lt;&gt;"",TRADE_LOG!A100,"")</f>
        <v/>
      </c>
      <c r="C103" s="151">
        <f>IF(TRADE_LOG!H100&lt;&gt;"",TRADE_LOG!H100,"")</f>
        <v/>
      </c>
      <c r="D103" s="152">
        <f>IF(C103&lt;&gt;"",D102+C103,"")</f>
        <v/>
      </c>
      <c r="E103" s="153">
        <f>IFERROR(COUNTIF(TRADE_LOG!H$4:H$100,"&gt;0")/COUNTA(TRADE_LOG!H$4:H$100),"")</f>
        <v/>
      </c>
    </row>
    <row r="104" ht="15.75" customHeight="1" s="98">
      <c r="A104" s="154">
        <f>IF(TRADE_LOG!A101&lt;&gt;"",98,"")</f>
        <v/>
      </c>
      <c r="B104" s="154">
        <f>IF(TRADE_LOG!A101&lt;&gt;"",TRADE_LOG!A101,"")</f>
        <v/>
      </c>
      <c r="C104" s="154">
        <f>IF(TRADE_LOG!H101&lt;&gt;"",TRADE_LOG!H101,"")</f>
        <v/>
      </c>
      <c r="D104" s="155">
        <f>IF(C104&lt;&gt;"",D103+C104,"")</f>
        <v/>
      </c>
      <c r="E104" s="156">
        <f>IFERROR(COUNTIF(TRADE_LOG!H$4:H$101,"&gt;0")/COUNTA(TRADE_LOG!H$4:H$101),"")</f>
        <v/>
      </c>
    </row>
    <row r="105" ht="15.75" customHeight="1" s="98">
      <c r="A105" s="151">
        <f>IF(TRADE_LOG!A102&lt;&gt;"",99,"")</f>
        <v/>
      </c>
      <c r="B105" s="151">
        <f>IF(TRADE_LOG!A102&lt;&gt;"",TRADE_LOG!A102,"")</f>
        <v/>
      </c>
      <c r="C105" s="151">
        <f>IF(TRADE_LOG!H102&lt;&gt;"",TRADE_LOG!H102,"")</f>
        <v/>
      </c>
      <c r="D105" s="152">
        <f>IF(C105&lt;&gt;"",D104+C105,"")</f>
        <v/>
      </c>
      <c r="E105" s="153">
        <f>IFERROR(COUNTIF(TRADE_LOG!H$4:H$102,"&gt;0")/COUNTA(TRADE_LOG!H$4:H$102),"")</f>
        <v/>
      </c>
    </row>
    <row r="106" ht="15.75" customHeight="1" s="98">
      <c r="A106" s="154">
        <f>IF(TRADE_LOG!A103&lt;&gt;"",100,"")</f>
        <v/>
      </c>
      <c r="B106" s="154">
        <f>IF(TRADE_LOG!A103&lt;&gt;"",TRADE_LOG!A103,"")</f>
        <v/>
      </c>
      <c r="C106" s="154">
        <f>IF(TRADE_LOG!H103&lt;&gt;"",TRADE_LOG!H103,"")</f>
        <v/>
      </c>
      <c r="D106" s="155">
        <f>IF(C106&lt;&gt;"",D105+C106,"")</f>
        <v/>
      </c>
      <c r="E106" s="156">
        <f>IFERROR(COUNTIF(TRADE_LOG!H$4:H$103,"&gt;0")/COUNTA(TRADE_LOG!H$4:H$103),"")</f>
        <v/>
      </c>
    </row>
    <row r="108" ht="14" customHeight="1" s="98">
      <c r="A108" s="113" t="inlineStr">
        <is>
          <t>© thetradingmindset26 2026  ·  Basic Edition (₹499)  ·  @thetradingmindset26  ·  Educational self-improvement tool only. Not investment advice. Unauthorised redistribution prohibited.</t>
        </is>
      </c>
    </row>
  </sheetData>
  <mergeCells count="4">
    <mergeCell ref="A2:L2"/>
    <mergeCell ref="A108:H108"/>
    <mergeCell ref="A1:L1"/>
    <mergeCell ref="A5:J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&amp;C&amp;"Arial,Bold"&amp;8 ⬡ AI Trading Journal Coach — Basic Edition (₹499)  ·  © thetradingmindset26 2026</oddHeader>
    <oddFooter>&amp;L&amp;"Arial,Italic"&amp;7 © thetradingmindset26 2026 · Educational only · Not investment advice · sebi.gov.in&amp;C&amp;"Arial"&amp;7 thetradingmindset26 · @thetradingmindset26 · gumroad.com/l/tmm-pro&amp;R&amp;"Arial"&amp;7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AA00FF"/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7" min="1" max="1"/>
    <col width="10" customWidth="1" style="97" min="2" max="2"/>
    <col width="8" customWidth="1" style="97" min="3" max="4"/>
    <col width="12" customWidth="1" style="97" min="5" max="8"/>
  </cols>
  <sheetData>
    <row r="1" ht="27.75" customHeight="1" s="98">
      <c r="A1" s="157" t="inlineStr">
        <is>
          <t>⬡  SETUP PROFITABILITY  ·  BASIC EDITION  ·  AUTO from TRADE_LOG</t>
        </is>
      </c>
    </row>
    <row r="2" ht="19.5" customHeight="1" s="98">
      <c r="A2" s="158" t="inlineStr">
        <is>
          <t>SETUP</t>
        </is>
      </c>
      <c r="B2" s="158" t="inlineStr">
        <is>
          <t>TRADES</t>
        </is>
      </c>
      <c r="C2" s="158" t="inlineStr">
        <is>
          <t>WINS</t>
        </is>
      </c>
      <c r="D2" s="158" t="inlineStr">
        <is>
          <t>LOSSES</t>
        </is>
      </c>
      <c r="E2" s="158" t="inlineStr">
        <is>
          <t>WIN RATE %</t>
        </is>
      </c>
      <c r="F2" s="158" t="inlineStr">
        <is>
          <t>AVG PnL</t>
        </is>
      </c>
      <c r="G2" s="158" t="inlineStr">
        <is>
          <t>TOTAL PnL</t>
        </is>
      </c>
      <c r="H2" s="158" t="inlineStr">
        <is>
          <t>EV SCORE</t>
        </is>
      </c>
    </row>
    <row r="3" ht="18" customHeight="1" s="98">
      <c r="A3" s="124" t="inlineStr">
        <is>
          <t>Breakout</t>
        </is>
      </c>
      <c r="B3" s="124">
        <f>COUNTIF(TRADE_LOG!D$4:D$2000,A3)</f>
        <v/>
      </c>
      <c r="C3" s="124">
        <f>COUNTIFS(TRADE_LOG!D$4:D$2000,A3,TRADE_LOG!H$4:H$2000,"&gt;0")</f>
        <v/>
      </c>
      <c r="D3" s="124">
        <f>COUNTIFS(TRADE_LOG!D$4:D$2000,A3,TRADE_LOG!H$4:H$2000,"&lt;0")</f>
        <v/>
      </c>
      <c r="E3" s="159">
        <f>IFERROR(C3/B3,0)</f>
        <v/>
      </c>
      <c r="F3" s="160">
        <f>IFERROR(AVERAGEIF(TRADE_LOG!D$4:D$2000,A3,TRADE_LOG!H$4:H$2000),0)</f>
        <v/>
      </c>
      <c r="G3" s="161">
        <f>IFERROR(SUMIF(TRADE_LOG!D$4:D$2000,A3,TRADE_LOG!H$4:H$2000),0)</f>
        <v/>
      </c>
      <c r="H3" s="160">
        <f>IFERROR(E3*F3,0)</f>
        <v/>
      </c>
    </row>
    <row r="4" ht="18" customHeight="1" s="98">
      <c r="A4" s="129" t="inlineStr">
        <is>
          <t>Breakdown</t>
        </is>
      </c>
      <c r="B4" s="129">
        <f>COUNTIF(TRADE_LOG!D$4:D$2000,A4)</f>
        <v/>
      </c>
      <c r="C4" s="129">
        <f>COUNTIFS(TRADE_LOG!D$4:D$2000,A4,TRADE_LOG!H$4:H$2000,"&gt;0")</f>
        <v/>
      </c>
      <c r="D4" s="129">
        <f>COUNTIFS(TRADE_LOG!D$4:D$2000,A4,TRADE_LOG!H$4:H$2000,"&lt;0")</f>
        <v/>
      </c>
      <c r="E4" s="162">
        <f>IFERROR(C4/B4,0)</f>
        <v/>
      </c>
      <c r="F4" s="163">
        <f>IFERROR(AVERAGEIF(TRADE_LOG!D$4:D$2000,A4,TRADE_LOG!H$4:H$2000),0)</f>
        <v/>
      </c>
      <c r="G4" s="164">
        <f>IFERROR(SUMIF(TRADE_LOG!D$4:D$2000,A4,TRADE_LOG!H$4:H$2000),0)</f>
        <v/>
      </c>
      <c r="H4" s="163">
        <f>IFERROR(E4*F4,0)</f>
        <v/>
      </c>
    </row>
    <row r="5" ht="18" customHeight="1" s="98">
      <c r="A5" s="124" t="inlineStr">
        <is>
          <t>Reversal</t>
        </is>
      </c>
      <c r="B5" s="124">
        <f>COUNTIF(TRADE_LOG!D$4:D$2000,A5)</f>
        <v/>
      </c>
      <c r="C5" s="124">
        <f>COUNTIFS(TRADE_LOG!D$4:D$2000,A5,TRADE_LOG!H$4:H$2000,"&gt;0")</f>
        <v/>
      </c>
      <c r="D5" s="124">
        <f>COUNTIFS(TRADE_LOG!D$4:D$2000,A5,TRADE_LOG!H$4:H$2000,"&lt;0")</f>
        <v/>
      </c>
      <c r="E5" s="159">
        <f>IFERROR(C5/B5,0)</f>
        <v/>
      </c>
      <c r="F5" s="160">
        <f>IFERROR(AVERAGEIF(TRADE_LOG!D$4:D$2000,A5,TRADE_LOG!H$4:H$2000),0)</f>
        <v/>
      </c>
      <c r="G5" s="161">
        <f>IFERROR(SUMIF(TRADE_LOG!D$4:D$2000,A5,TRADE_LOG!H$4:H$2000),0)</f>
        <v/>
      </c>
      <c r="H5" s="160">
        <f>IFERROR(E5*F5,0)</f>
        <v/>
      </c>
    </row>
    <row r="6" ht="18" customHeight="1" s="98">
      <c r="A6" s="129" t="inlineStr">
        <is>
          <t>Scalping</t>
        </is>
      </c>
      <c r="B6" s="129">
        <f>COUNTIF(TRADE_LOG!D$4:D$2000,A6)</f>
        <v/>
      </c>
      <c r="C6" s="129">
        <f>COUNTIFS(TRADE_LOG!D$4:D$2000,A6,TRADE_LOG!H$4:H$2000,"&gt;0")</f>
        <v/>
      </c>
      <c r="D6" s="129">
        <f>COUNTIFS(TRADE_LOG!D$4:D$2000,A6,TRADE_LOG!H$4:H$2000,"&lt;0")</f>
        <v/>
      </c>
      <c r="E6" s="162">
        <f>IFERROR(C6/B6,0)</f>
        <v/>
      </c>
      <c r="F6" s="163">
        <f>IFERROR(AVERAGEIF(TRADE_LOG!D$4:D$2000,A6,TRADE_LOG!H$4:H$2000),0)</f>
        <v/>
      </c>
      <c r="G6" s="164">
        <f>IFERROR(SUMIF(TRADE_LOG!D$4:D$2000,A6,TRADE_LOG!H$4:H$2000),0)</f>
        <v/>
      </c>
      <c r="H6" s="163">
        <f>IFERROR(E6*F6,0)</f>
        <v/>
      </c>
    </row>
    <row r="7" ht="18" customHeight="1" s="98">
      <c r="A7" s="124" t="inlineStr">
        <is>
          <t>Liquidity Grab</t>
        </is>
      </c>
      <c r="B7" s="124">
        <f>COUNTIF(TRADE_LOG!D$4:D$2000,A7)</f>
        <v/>
      </c>
      <c r="C7" s="124">
        <f>COUNTIFS(TRADE_LOG!D$4:D$2000,A7,TRADE_LOG!H$4:H$2000,"&gt;0")</f>
        <v/>
      </c>
      <c r="D7" s="124">
        <f>COUNTIFS(TRADE_LOG!D$4:D$2000,A7,TRADE_LOG!H$4:H$2000,"&lt;0")</f>
        <v/>
      </c>
      <c r="E7" s="159">
        <f>IFERROR(C7/B7,0)</f>
        <v/>
      </c>
      <c r="F7" s="160">
        <f>IFERROR(AVERAGEIF(TRADE_LOG!D$4:D$2000,A7,TRADE_LOG!H$4:H$2000),0)</f>
        <v/>
      </c>
      <c r="G7" s="161">
        <f>IFERROR(SUMIF(TRADE_LOG!D$4:D$2000,A7,TRADE_LOG!H$4:H$2000),0)</f>
        <v/>
      </c>
      <c r="H7" s="160">
        <f>IFERROR(E7*F7,0)</f>
        <v/>
      </c>
    </row>
    <row r="8" ht="18" customHeight="1" s="98">
      <c r="A8" s="129" t="inlineStr">
        <is>
          <t>VWAP Reversion</t>
        </is>
      </c>
      <c r="B8" s="129">
        <f>COUNTIF(TRADE_LOG!D$4:D$2000,A8)</f>
        <v/>
      </c>
      <c r="C8" s="129">
        <f>COUNTIFS(TRADE_LOG!D$4:D$2000,A8,TRADE_LOG!H$4:H$2000,"&gt;0")</f>
        <v/>
      </c>
      <c r="D8" s="129">
        <f>COUNTIFS(TRADE_LOG!D$4:D$2000,A8,TRADE_LOG!H$4:H$2000,"&lt;0")</f>
        <v/>
      </c>
      <c r="E8" s="162">
        <f>IFERROR(C8/B8,0)</f>
        <v/>
      </c>
      <c r="F8" s="163">
        <f>IFERROR(AVERAGEIF(TRADE_LOG!D$4:D$2000,A8,TRADE_LOG!H$4:H$2000),0)</f>
        <v/>
      </c>
      <c r="G8" s="164">
        <f>IFERROR(SUMIF(TRADE_LOG!D$4:D$2000,A8,TRADE_LOG!H$4:H$2000),0)</f>
        <v/>
      </c>
      <c r="H8" s="163">
        <f>IFERROR(E8*F8,0)</f>
        <v/>
      </c>
    </row>
    <row r="9" ht="18" customHeight="1" s="98">
      <c r="A9" s="124" t="inlineStr">
        <is>
          <t>Opening Range</t>
        </is>
      </c>
      <c r="B9" s="124">
        <f>COUNTIF(TRADE_LOG!D$4:D$2000,A9)</f>
        <v/>
      </c>
      <c r="C9" s="124">
        <f>COUNTIFS(TRADE_LOG!D$4:D$2000,A9,TRADE_LOG!H$4:H$2000,"&gt;0")</f>
        <v/>
      </c>
      <c r="D9" s="124">
        <f>COUNTIFS(TRADE_LOG!D$4:D$2000,A9,TRADE_LOG!H$4:H$2000,"&lt;0")</f>
        <v/>
      </c>
      <c r="E9" s="159">
        <f>IFERROR(C9/B9,0)</f>
        <v/>
      </c>
      <c r="F9" s="160">
        <f>IFERROR(AVERAGEIF(TRADE_LOG!D$4:D$2000,A9,TRADE_LOG!H$4:H$2000),0)</f>
        <v/>
      </c>
      <c r="G9" s="161">
        <f>IFERROR(SUMIF(TRADE_LOG!D$4:D$2000,A9,TRADE_LOG!H$4:H$2000),0)</f>
        <v/>
      </c>
      <c r="H9" s="160">
        <f>IFERROR(E9*F9,0)</f>
        <v/>
      </c>
    </row>
    <row r="10" ht="18" customHeight="1" s="98">
      <c r="A10" s="129" t="inlineStr">
        <is>
          <t>Order Block</t>
        </is>
      </c>
      <c r="B10" s="129">
        <f>COUNTIF(TRADE_LOG!D$4:D$2000,A10)</f>
        <v/>
      </c>
      <c r="C10" s="129">
        <f>COUNTIFS(TRADE_LOG!D$4:D$2000,A10,TRADE_LOG!H$4:H$2000,"&gt;0")</f>
        <v/>
      </c>
      <c r="D10" s="129">
        <f>COUNTIFS(TRADE_LOG!D$4:D$2000,A10,TRADE_LOG!H$4:H$2000,"&lt;0")</f>
        <v/>
      </c>
      <c r="E10" s="162">
        <f>IFERROR(C10/B10,0)</f>
        <v/>
      </c>
      <c r="F10" s="163">
        <f>IFERROR(AVERAGEIF(TRADE_LOG!D$4:D$2000,A10,TRADE_LOG!H$4:H$2000),0)</f>
        <v/>
      </c>
      <c r="G10" s="164">
        <f>IFERROR(SUMIF(TRADE_LOG!D$4:D$2000,A10,TRADE_LOG!H$4:H$2000),0)</f>
        <v/>
      </c>
      <c r="H10" s="163">
        <f>IFERROR(E10*F10,0)</f>
        <v/>
      </c>
    </row>
    <row r="11" ht="18" customHeight="1" s="98">
      <c r="A11" s="124" t="inlineStr">
        <is>
          <t>Supply/Demand</t>
        </is>
      </c>
      <c r="B11" s="124">
        <f>COUNTIF(TRADE_LOG!D$4:D$2000,A11)</f>
        <v/>
      </c>
      <c r="C11" s="124">
        <f>COUNTIFS(TRADE_LOG!D$4:D$2000,A11,TRADE_LOG!H$4:H$2000,"&gt;0")</f>
        <v/>
      </c>
      <c r="D11" s="124">
        <f>COUNTIFS(TRADE_LOG!D$4:D$2000,A11,TRADE_LOG!H$4:H$2000,"&lt;0")</f>
        <v/>
      </c>
      <c r="E11" s="159">
        <f>IFERROR(C11/B11,0)</f>
        <v/>
      </c>
      <c r="F11" s="160">
        <f>IFERROR(AVERAGEIF(TRADE_LOG!D$4:D$2000,A11,TRADE_LOG!H$4:H$2000),0)</f>
        <v/>
      </c>
      <c r="G11" s="161">
        <f>IFERROR(SUMIF(TRADE_LOG!D$4:D$2000,A11,TRADE_LOG!H$4:H$2000),0)</f>
        <v/>
      </c>
      <c r="H11" s="160">
        <f>IFERROR(E11*F11,0)</f>
        <v/>
      </c>
    </row>
    <row r="12" ht="18" customHeight="1" s="98">
      <c r="A12" s="129" t="inlineStr">
        <is>
          <t>Gap Fill</t>
        </is>
      </c>
      <c r="B12" s="129">
        <f>COUNTIF(TRADE_LOG!D$4:D$2000,A12)</f>
        <v/>
      </c>
      <c r="C12" s="129">
        <f>COUNTIFS(TRADE_LOG!D$4:D$2000,A12,TRADE_LOG!H$4:H$2000,"&gt;0")</f>
        <v/>
      </c>
      <c r="D12" s="129">
        <f>COUNTIFS(TRADE_LOG!D$4:D$2000,A12,TRADE_LOG!H$4:H$2000,"&lt;0")</f>
        <v/>
      </c>
      <c r="E12" s="162">
        <f>IFERROR(C12/B12,0)</f>
        <v/>
      </c>
      <c r="F12" s="163">
        <f>IFERROR(AVERAGEIF(TRADE_LOG!D$4:D$2000,A12,TRADE_LOG!H$4:H$2000),0)</f>
        <v/>
      </c>
      <c r="G12" s="164">
        <f>IFERROR(SUMIF(TRADE_LOG!D$4:D$2000,A12,TRADE_LOG!H$4:H$2000),0)</f>
        <v/>
      </c>
      <c r="H12" s="163">
        <f>IFERROR(E12*F12,0)</f>
        <v/>
      </c>
    </row>
    <row r="13" ht="18" customHeight="1" s="98">
      <c r="A13" s="124" t="inlineStr">
        <is>
          <t>Other</t>
        </is>
      </c>
      <c r="B13" s="124">
        <f>COUNTIF(TRADE_LOG!D$4:D$2000,A13)</f>
        <v/>
      </c>
      <c r="C13" s="124">
        <f>COUNTIFS(TRADE_LOG!D$4:D$2000,A13,TRADE_LOG!H$4:H$2000,"&gt;0")</f>
        <v/>
      </c>
      <c r="D13" s="124">
        <f>COUNTIFS(TRADE_LOG!D$4:D$2000,A13,TRADE_LOG!H$4:H$2000,"&lt;0")</f>
        <v/>
      </c>
      <c r="E13" s="159">
        <f>IFERROR(C13/B13,0)</f>
        <v/>
      </c>
      <c r="F13" s="160">
        <f>IFERROR(AVERAGEIF(TRADE_LOG!D$4:D$2000,A13,TRADE_LOG!H$4:H$2000),0)</f>
        <v/>
      </c>
      <c r="G13" s="161">
        <f>IFERROR(SUMIF(TRADE_LOG!D$4:D$2000,A13,TRADE_LOG!H$4:H$2000),0)</f>
        <v/>
      </c>
      <c r="H13" s="160">
        <f>IFERROR(E13*F13,0)</f>
        <v/>
      </c>
    </row>
    <row r="15" ht="14" customHeight="1" s="98">
      <c r="A15" s="113" t="inlineStr">
        <is>
          <t>© thetradingmindset26 2026  ·  Basic Edition (₹499)  ·  @thetradingmindset26  ·  Educational self-improvement tool only. Not investment advice. Unauthorised redistribution prohibited.</t>
        </is>
      </c>
    </row>
  </sheetData>
  <mergeCells count="2">
    <mergeCell ref="A15:H15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&amp;C&amp;"Arial,Bold"&amp;8 ⬡ AI Trading Journal Coach — Basic Edition (₹499)  ·  © thetradingmindset26 2026</oddHeader>
    <oddFooter>&amp;L&amp;"Arial,Italic"&amp;7 © thetradingmindset26 2026 · Educational only · Not investment advice · sebi.gov.in&amp;C&amp;"Arial"&amp;7 thetradingmindset26 · @thetradingmindset26 · gumroad.com/l/tmm-pro&amp;R&amp;"Arial"&amp;7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FF8C42"/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7" min="1" max="1"/>
    <col width="10" customWidth="1" style="97" min="2" max="2"/>
    <col width="12" customWidth="1" style="97" min="3" max="3"/>
    <col width="20" customWidth="1" style="97" min="5" max="5"/>
    <col width="10" customWidth="1" style="97" min="6" max="6"/>
    <col width="12" customWidth="1" style="97" min="7" max="7"/>
  </cols>
  <sheetData>
    <row r="1" ht="25.5" customHeight="1" s="98">
      <c r="A1" s="165" t="inlineStr">
        <is>
          <t>⬡  PSYCHOLOGY LOG  ·  BASIC EDITION  ·  AUTO from TRADE_LOG</t>
        </is>
      </c>
      <c r="E1" s="166" t="inlineStr">
        <is>
          <t>MISTAKE FREQUENCY</t>
        </is>
      </c>
    </row>
    <row r="2" ht="15" customHeight="1" s="98">
      <c r="A2" s="167" t="inlineStr">
        <is>
          <t>EMOTION BEFORE</t>
        </is>
      </c>
      <c r="B2" s="167" t="inlineStr">
        <is>
          <t>COUNT</t>
        </is>
      </c>
      <c r="C2" s="167" t="inlineStr">
        <is>
          <t>FREQ %</t>
        </is>
      </c>
      <c r="E2" s="168" t="inlineStr">
        <is>
          <t>MISTAKE</t>
        </is>
      </c>
      <c r="F2" s="168" t="inlineStr">
        <is>
          <t>COUNT</t>
        </is>
      </c>
      <c r="G2" s="168" t="inlineStr">
        <is>
          <t>FREQ %</t>
        </is>
      </c>
    </row>
    <row r="3" ht="18" customHeight="1" s="98">
      <c r="A3" s="124" t="inlineStr">
        <is>
          <t>Confident</t>
        </is>
      </c>
      <c r="B3" s="169">
        <f>COUNTIF(TRADE_LOG!K$4:K$2000,A3)</f>
        <v/>
      </c>
      <c r="C3" s="170">
        <f>IFERROR(B3/COUNTA(TRADE_LOG!K$4:K$2000),0)</f>
        <v/>
      </c>
      <c r="E3" s="124" t="inlineStr">
        <is>
          <t>Overtrading</t>
        </is>
      </c>
      <c r="F3" s="171" t="inlineStr">
        <is>
          <t>—</t>
        </is>
      </c>
      <c r="G3" s="171" t="inlineStr">
        <is>
          <t>—</t>
        </is>
      </c>
    </row>
    <row r="4" ht="18" customHeight="1" s="98">
      <c r="A4" s="129" t="inlineStr">
        <is>
          <t>Disciplined</t>
        </is>
      </c>
      <c r="B4" s="172">
        <f>COUNTIF(TRADE_LOG!K$4:K$2000,A4)</f>
        <v/>
      </c>
      <c r="C4" s="173">
        <f>IFERROR(B4/COUNTA(TRADE_LOG!K$4:K$2000),0)</f>
        <v/>
      </c>
      <c r="E4" s="129" t="inlineStr">
        <is>
          <t>Early Exit</t>
        </is>
      </c>
      <c r="F4" s="174" t="inlineStr">
        <is>
          <t>—</t>
        </is>
      </c>
      <c r="G4" s="174" t="inlineStr">
        <is>
          <t>—</t>
        </is>
      </c>
    </row>
    <row r="5" ht="18" customHeight="1" s="98">
      <c r="A5" s="124" t="inlineStr">
        <is>
          <t>Calm</t>
        </is>
      </c>
      <c r="B5" s="169">
        <f>COUNTIF(TRADE_LOG!K$4:K$2000,A5)</f>
        <v/>
      </c>
      <c r="C5" s="170">
        <f>IFERROR(B5/COUNTA(TRADE_LOG!K$4:K$2000),0)</f>
        <v/>
      </c>
      <c r="E5" s="124" t="inlineStr">
        <is>
          <t>Late Entry</t>
        </is>
      </c>
      <c r="F5" s="171" t="inlineStr">
        <is>
          <t>—</t>
        </is>
      </c>
      <c r="G5" s="171" t="inlineStr">
        <is>
          <t>—</t>
        </is>
      </c>
    </row>
    <row r="6" ht="18" customHeight="1" s="98">
      <c r="A6" s="129" t="inlineStr">
        <is>
          <t>Neutral</t>
        </is>
      </c>
      <c r="B6" s="172">
        <f>COUNTIF(TRADE_LOG!K$4:K$2000,A6)</f>
        <v/>
      </c>
      <c r="C6" s="173">
        <f>IFERROR(B6/COUNTA(TRADE_LOG!K$4:K$2000),0)</f>
        <v/>
      </c>
      <c r="E6" s="129" t="inlineStr">
        <is>
          <t>Late Exit</t>
        </is>
      </c>
      <c r="F6" s="174" t="inlineStr">
        <is>
          <t>—</t>
        </is>
      </c>
      <c r="G6" s="174" t="inlineStr">
        <is>
          <t>—</t>
        </is>
      </c>
    </row>
    <row r="7" ht="18" customHeight="1" s="98">
      <c r="A7" s="124" t="inlineStr">
        <is>
          <t>Fearful</t>
        </is>
      </c>
      <c r="B7" s="169">
        <f>COUNTIF(TRADE_LOG!K$4:K$2000,A7)</f>
        <v/>
      </c>
      <c r="C7" s="170">
        <f>IFERROR(B7/COUNTA(TRADE_LOG!K$4:K$2000),0)</f>
        <v/>
      </c>
      <c r="E7" s="124" t="inlineStr">
        <is>
          <t>Moved Stop Loss</t>
        </is>
      </c>
      <c r="F7" s="171" t="inlineStr">
        <is>
          <t>—</t>
        </is>
      </c>
      <c r="G7" s="171" t="inlineStr">
        <is>
          <t>—</t>
        </is>
      </c>
    </row>
    <row r="8" ht="18" customHeight="1" s="98">
      <c r="A8" s="129" t="inlineStr">
        <is>
          <t>Anxious</t>
        </is>
      </c>
      <c r="B8" s="172">
        <f>COUNTIF(TRADE_LOG!K$4:K$2000,A8)</f>
        <v/>
      </c>
      <c r="C8" s="173">
        <f>IFERROR(B8/COUNTA(TRADE_LOG!K$4:K$2000),0)</f>
        <v/>
      </c>
      <c r="E8" s="129" t="inlineStr">
        <is>
          <t>Sized Too Large</t>
        </is>
      </c>
      <c r="F8" s="174" t="inlineStr">
        <is>
          <t>—</t>
        </is>
      </c>
      <c r="G8" s="174" t="inlineStr">
        <is>
          <t>—</t>
        </is>
      </c>
    </row>
    <row r="9" ht="18" customHeight="1" s="98">
      <c r="A9" s="124" t="inlineStr">
        <is>
          <t>Greedy</t>
        </is>
      </c>
      <c r="B9" s="169">
        <f>COUNTIF(TRADE_LOG!K$4:K$2000,A9)</f>
        <v/>
      </c>
      <c r="C9" s="170">
        <f>IFERROR(B9/COUNTA(TRADE_LOG!K$4:K$2000),0)</f>
        <v/>
      </c>
      <c r="E9" s="124" t="inlineStr">
        <is>
          <t>Chased Price</t>
        </is>
      </c>
      <c r="F9" s="171" t="inlineStr">
        <is>
          <t>—</t>
        </is>
      </c>
      <c r="G9" s="171" t="inlineStr">
        <is>
          <t>—</t>
        </is>
      </c>
    </row>
    <row r="10" ht="18" customHeight="1" s="98">
      <c r="A10" s="129" t="inlineStr">
        <is>
          <t>Revenge</t>
        </is>
      </c>
      <c r="B10" s="172">
        <f>COUNTIF(TRADE_LOG!K$4:K$2000,A10)</f>
        <v/>
      </c>
      <c r="C10" s="173">
        <f>IFERROR(B10/COUNTA(TRADE_LOG!K$4:K$2000),0)</f>
        <v/>
      </c>
      <c r="E10" s="129" t="inlineStr">
        <is>
          <t>Revenge Trade</t>
        </is>
      </c>
      <c r="F10" s="174" t="inlineStr">
        <is>
          <t>—</t>
        </is>
      </c>
      <c r="G10" s="174" t="inlineStr">
        <is>
          <t>—</t>
        </is>
      </c>
    </row>
    <row r="11" ht="18" customHeight="1" s="98">
      <c r="A11" s="124" t="inlineStr">
        <is>
          <t>FOMO</t>
        </is>
      </c>
      <c r="B11" s="169">
        <f>COUNTIF(TRADE_LOG!K$4:K$2000,A11)</f>
        <v/>
      </c>
      <c r="C11" s="170">
        <f>IFERROR(B11/COUNTA(TRADE_LOG!K$4:K$2000),0)</f>
        <v/>
      </c>
      <c r="E11" s="124" t="inlineStr">
        <is>
          <t>FOMO Entry</t>
        </is>
      </c>
      <c r="F11" s="171" t="inlineStr">
        <is>
          <t>—</t>
        </is>
      </c>
      <c r="G11" s="171" t="inlineStr">
        <is>
          <t>—</t>
        </is>
      </c>
    </row>
    <row r="12" ht="18" customHeight="1" s="98">
      <c r="A12" s="129" t="inlineStr">
        <is>
          <t>Overconfident</t>
        </is>
      </c>
      <c r="B12" s="172">
        <f>COUNTIF(TRADE_LOG!K$4:K$2000,A12)</f>
        <v/>
      </c>
      <c r="C12" s="173">
        <f>IFERROR(B12/COUNTA(TRADE_LOG!K$4:K$2000),0)</f>
        <v/>
      </c>
      <c r="E12" s="129" t="inlineStr">
        <is>
          <t>Broke Rules</t>
        </is>
      </c>
      <c r="F12" s="174" t="inlineStr">
        <is>
          <t>—</t>
        </is>
      </c>
      <c r="G12" s="174" t="inlineStr">
        <is>
          <t>—</t>
        </is>
      </c>
    </row>
    <row r="13" ht="18" customHeight="1" s="98">
      <c r="A13" s="124" t="inlineStr">
        <is>
          <t>Frustrated</t>
        </is>
      </c>
      <c r="B13" s="169">
        <f>COUNTIF(TRADE_LOG!K$4:K$2000,A13)</f>
        <v/>
      </c>
      <c r="C13" s="170">
        <f>IFERROR(B13/COUNTA(TRADE_LOG!K$4:K$2000),0)</f>
        <v/>
      </c>
    </row>
    <row r="14" ht="18" customHeight="1" s="98">
      <c r="A14" s="129" t="inlineStr">
        <is>
          <t>Satisfied</t>
        </is>
      </c>
      <c r="B14" s="172">
        <f>COUNTIF(TRADE_LOG!K$4:K$2000,A14)</f>
        <v/>
      </c>
      <c r="C14" s="173">
        <f>IFERROR(B14/COUNTA(TRADE_LOG!K$4:K$2000),0)</f>
        <v/>
      </c>
      <c r="E14" s="100" t="inlineStr">
        <is>
          <t>⬆ Upgrade to Pro version to unlock Mistake Tracking</t>
        </is>
      </c>
    </row>
    <row r="15" ht="18" customHeight="1" s="98">
      <c r="A15" s="124" t="inlineStr">
        <is>
          <t>Regretful</t>
        </is>
      </c>
      <c r="B15" s="169">
        <f>COUNTIF(TRADE_LOG!K$4:K$2000,A15)</f>
        <v/>
      </c>
      <c r="C15" s="170">
        <f>IFERROR(B15/COUNTA(TRADE_LOG!K$4:K$2000),0)</f>
        <v/>
      </c>
    </row>
    <row r="17" ht="14" customHeight="1" s="98">
      <c r="A17" s="113" t="inlineStr">
        <is>
          <t>© thetradingmindset26 2026  ·  Basic Edition (₹499)  ·  @thetradingmindset26  ·  Educational self-improvement tool only. Not investment advice. Unauthorised redistribution prohibited.</t>
        </is>
      </c>
    </row>
  </sheetData>
  <mergeCells count="4">
    <mergeCell ref="A1:D1"/>
    <mergeCell ref="A17:H17"/>
    <mergeCell ref="E1:G1"/>
    <mergeCell ref="E14:G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&amp;C&amp;"Arial,Bold"&amp;8 ⬡ AI Trading Journal Coach — Basic Edition (₹499)  ·  © thetradingmindset26 2026</oddHeader>
    <oddFooter>&amp;L&amp;"Arial,Italic"&amp;7 © thetradingmindset26 2026 · Educational only · Not investment advice · sebi.gov.in&amp;C&amp;"Arial"&amp;7 thetradingmindset26 · @thetradingmindset26 · gumroad.com/l/tmm-pro&amp;R&amp;"Arial"&amp;7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7" min="1" max="1"/>
    <col width="55" customWidth="1" style="97" min="2" max="2"/>
    <col width="16" customWidth="1" style="97" min="3" max="4"/>
  </cols>
  <sheetData>
    <row r="1" ht="25.5" customHeight="1" s="98">
      <c r="A1" s="175" t="inlineStr">
        <is>
          <t>⬡  WEEKLY REVIEW  ·  BASIC EDITION  ·  Type week-end date only — rest is AUTO</t>
        </is>
      </c>
    </row>
    <row r="3" ht="21.75" customHeight="1" s="98">
      <c r="A3" s="176" t="inlineStr">
        <is>
          <t>WEEK ENDING DATE  ← TYPE HERE</t>
        </is>
      </c>
      <c r="B3" s="177" t="n"/>
      <c r="C3" s="178" t="n"/>
      <c r="D3" s="178" t="n"/>
    </row>
    <row r="4" ht="21.75" customHeight="1" s="98">
      <c r="A4" s="179" t="inlineStr">
        <is>
          <t>Total Trades This Week</t>
        </is>
      </c>
      <c r="B4" s="180">
        <f>COUNTIFS(TRADE_LOG!A$4:A$2000,"&gt;="&amp;DATE(YEAR(B3),MONTH(B3),DAY(B3)-6),TRADE_LOG!A$4:A$2000,"&lt;="&amp;B3)</f>
        <v/>
      </c>
      <c r="C4" s="178" t="n"/>
      <c r="D4" s="178" t="n"/>
    </row>
    <row r="5" ht="21.75" customHeight="1" s="98">
      <c r="A5" s="181" t="inlineStr">
        <is>
          <t>Weekly PnL</t>
        </is>
      </c>
      <c r="B5" s="182">
        <f>SUMIFS(TRADE_LOG!H$4:H$2000,TRADE_LOG!A$4:A$2000,"&gt;="&amp;DATE(YEAR(B3),MONTH(B3),DAY(B3)-6),TRADE_LOG!A$4:A$2000,"&lt;="&amp;B3)</f>
        <v/>
      </c>
      <c r="C5" s="178" t="n"/>
      <c r="D5" s="178" t="n"/>
    </row>
    <row r="6" ht="21.75" customHeight="1" s="98">
      <c r="A6" s="181" t="inlineStr">
        <is>
          <t>Win Rate</t>
        </is>
      </c>
      <c r="B6" s="183">
        <f>IFERROR(COUNTIFS(TRADE_LOG!A$4:A$2000,"&gt;="&amp;DATE(YEAR(B3),MONTH(B3),DAY(B3)-6),TRADE_LOG!A$4:A$2000,"&lt;="&amp;B3,TRADE_LOG!H$4:H$2000,"&gt;0")/B4,0)</f>
        <v/>
      </c>
      <c r="C6" s="178" t="n"/>
      <c r="D6" s="178" t="n"/>
    </row>
    <row r="7" ht="21.75" customHeight="1" s="98">
      <c r="A7" s="181" t="inlineStr">
        <is>
          <t>Discipline %</t>
        </is>
      </c>
      <c r="B7" s="183">
        <f>IFERROR(COUNTIFS(TRADE_LOG!A$4:A$2000,"&gt;="&amp;DATE(YEAR(B3),MONTH(B3),DAY(B3)-6),TRADE_LOG!A$4:A$2000,"&lt;="&amp;B3,TRADE_LOG!J$4:J$2000,"Yes")/B4,0)</f>
        <v/>
      </c>
      <c r="C7" s="178" t="n"/>
      <c r="D7" s="178" t="n"/>
    </row>
    <row r="9" ht="21.75" customHeight="1" s="98">
      <c r="A9" s="184" t="inlineStr">
        <is>
          <t>What went well this week:</t>
        </is>
      </c>
      <c r="B9" s="185" t="n"/>
      <c r="C9" s="178" t="n"/>
      <c r="D9" s="178" t="n"/>
    </row>
    <row r="10" ht="21.75" customHeight="1" s="98">
      <c r="A10" s="179" t="inlineStr">
        <is>
          <t>1.</t>
        </is>
      </c>
      <c r="B10" s="180" t="n"/>
      <c r="C10" s="178" t="n"/>
      <c r="D10" s="178" t="n"/>
    </row>
    <row r="11" ht="21.75" customHeight="1" s="98">
      <c r="A11" s="179" t="inlineStr">
        <is>
          <t>2.</t>
        </is>
      </c>
      <c r="B11" s="180" t="n"/>
      <c r="C11" s="178" t="n"/>
      <c r="D11" s="178" t="n"/>
    </row>
    <row r="12" ht="21.75" customHeight="1" s="98">
      <c r="A12" s="179" t="inlineStr">
        <is>
          <t>3.</t>
        </is>
      </c>
      <c r="B12" s="180" t="n"/>
      <c r="C12" s="178" t="n"/>
      <c r="D12" s="178" t="n"/>
    </row>
    <row r="14" ht="21.75" customHeight="1" s="98">
      <c r="A14" s="186" t="inlineStr">
        <is>
          <t>What went wrong:</t>
        </is>
      </c>
      <c r="B14" s="187" t="n"/>
      <c r="C14" s="178" t="n"/>
      <c r="D14" s="178" t="n"/>
    </row>
    <row r="15" ht="21.75" customHeight="1" s="98">
      <c r="A15" s="179" t="inlineStr">
        <is>
          <t>1.</t>
        </is>
      </c>
      <c r="B15" s="180" t="n"/>
      <c r="C15" s="178" t="n"/>
      <c r="D15" s="178" t="n"/>
    </row>
    <row r="16" ht="21.75" customHeight="1" s="98">
      <c r="A16" s="179" t="inlineStr">
        <is>
          <t>2.</t>
        </is>
      </c>
      <c r="B16" s="180" t="n"/>
      <c r="C16" s="178" t="n"/>
      <c r="D16" s="178" t="n"/>
    </row>
    <row r="17" ht="21.75" customHeight="1" s="98">
      <c r="A17" s="179" t="inlineStr">
        <is>
          <t>3.</t>
        </is>
      </c>
      <c r="B17" s="180" t="n"/>
      <c r="C17" s="178" t="n"/>
      <c r="D17" s="178" t="n"/>
    </row>
    <row r="19" ht="21.75" customHeight="1" s="98">
      <c r="A19" s="176" t="inlineStr">
        <is>
          <t>Next week focus setup:</t>
        </is>
      </c>
      <c r="B19" s="177" t="n"/>
      <c r="C19" s="178" t="n"/>
      <c r="D19" s="178" t="n"/>
    </row>
    <row r="20" ht="21.75" customHeight="1" s="98">
      <c r="A20" s="188" t="inlineStr">
        <is>
          <t>Habit to eliminate:</t>
        </is>
      </c>
      <c r="B20" s="189" t="n"/>
      <c r="C20" s="178" t="n"/>
      <c r="D20" s="178" t="n"/>
    </row>
    <row r="21" ht="21.75" customHeight="1" s="98">
      <c r="A21" s="188" t="inlineStr">
        <is>
          <t>Daily loss limit (pts):</t>
        </is>
      </c>
      <c r="B21" s="189" t="n"/>
      <c r="C21" s="178" t="n"/>
      <c r="D21" s="178" t="n"/>
    </row>
    <row r="23" ht="14" customHeight="1" s="98">
      <c r="A23" s="113" t="inlineStr">
        <is>
          <t>© thetradingmindset26 2026  ·  Basic Edition (₹499)  ·  @thetradingmindset26  ·  Educational self-improvement tool only. Not investment advice. Unauthorised redistribution prohibited.</t>
        </is>
      </c>
    </row>
  </sheetData>
  <mergeCells count="18">
    <mergeCell ref="B10:D10"/>
    <mergeCell ref="A1:D1"/>
    <mergeCell ref="B11:D11"/>
    <mergeCell ref="B3:D3"/>
    <mergeCell ref="B5:D5"/>
    <mergeCell ref="B14:D14"/>
    <mergeCell ref="B19:D19"/>
    <mergeCell ref="B4:D4"/>
    <mergeCell ref="B17:D17"/>
    <mergeCell ref="B9:D9"/>
    <mergeCell ref="B12:D12"/>
    <mergeCell ref="B21:D21"/>
    <mergeCell ref="A23:H23"/>
    <mergeCell ref="B15:D15"/>
    <mergeCell ref="B7:D7"/>
    <mergeCell ref="B6:D6"/>
    <mergeCell ref="B16:D16"/>
    <mergeCell ref="B20:D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&amp;C&amp;"Arial,Bold"&amp;8 ⬡ AI Trading Journal Coach — Basic Edition (₹499)  ·  © thetradingmindset26 2026</oddHeader>
    <oddFooter>&amp;L&amp;"Arial,Italic"&amp;7 © thetradingmindset26 2026 · Educational only · Not investment advice · sebi.gov.in&amp;C&amp;"Arial"&amp;7 thetradingmindset26 · @thetradingmindset26 · gumroad.com/l/tmm-pro&amp;R&amp;"Arial"&amp;7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00C853"/>
    <outlinePr summaryBelow="1" summaryRight="1"/>
    <pageSetUpPr fitToPage="0"/>
  </sheetPr>
  <dimension ref="A1:H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97" min="1" max="1"/>
    <col width="60" customWidth="1" style="97" min="2" max="2"/>
    <col width="20" customWidth="1" style="97" min="3" max="3"/>
  </cols>
  <sheetData>
    <row r="1" ht="25.5" customHeight="1" s="98">
      <c r="A1" s="114" t="inlineStr">
        <is>
          <t>⬡  AI COACHING PROMPT  ·  BASIC EDITION  ·  Copy prompt below → Paste into claude.ai (FREE)</t>
        </is>
      </c>
    </row>
    <row r="2" ht="27.75" customHeight="1" s="98">
      <c r="A2" s="190" t="inlineStr">
        <is>
          <t>STEPS: 1) Log at least 5 trades  2) Check your live metrics below (rows 5-12)  3) Copy the prompt from rows 15-30  4) Include your metrics  5) Paste into claude.ai (free) or chat.openai.com</t>
        </is>
      </c>
    </row>
    <row r="3" ht="27.75" customHeight="1" s="98">
      <c r="A3" s="191" t="inlineStr">
        <is>
          <t>UPGRADE TO PRO: Get full automation — AI fills all sections with one click. No copy-paste. thetradingmindset26 Pro at ₹2,999</t>
        </is>
      </c>
    </row>
    <row r="4" ht="18" customHeight="1" s="98">
      <c r="A4" s="192" t="inlineStr">
        <is>
          <t>YOUR LIVE METRICS (auto-calculated from TRADE_LOG):</t>
        </is>
      </c>
    </row>
    <row r="5" ht="18" customHeight="1" s="98">
      <c r="A5" s="193" t="inlineStr">
        <is>
          <t>Total Trades:</t>
        </is>
      </c>
      <c r="B5" s="106">
        <f>COUNTA(TRADE_LOG!A4:A2000)</f>
        <v/>
      </c>
    </row>
    <row r="6" ht="18" customHeight="1" s="98">
      <c r="A6" s="193" t="inlineStr">
        <is>
          <t>Win Rate:</t>
        </is>
      </c>
      <c r="B6" s="106">
        <f>TEXT(IFERROR(COUNTIF(TRADE_LOG!H4:H2000,"&gt;0")/COUNTA(TRADE_LOG!H4:H2000),0),"0.0%")</f>
        <v/>
      </c>
    </row>
    <row r="7" ht="18" customHeight="1" s="98">
      <c r="A7" s="193" t="inlineStr">
        <is>
          <t>Total PnL:</t>
        </is>
      </c>
      <c r="B7" s="106">
        <f>TEXT(IFERROR(SUM(TRADE_LOG!H4:H2000),0),"+#,##0;-#,##0")</f>
        <v/>
      </c>
    </row>
    <row r="8" ht="18" customHeight="1" s="98">
      <c r="A8" s="193" t="inlineStr">
        <is>
          <t>Profit Factor:</t>
        </is>
      </c>
      <c r="B8" s="106">
        <f>TEXT(IFERROR(SUMIF(TRADE_LOG!H4:H2000,"&gt;0")/ABS(SUMIF(TRADE_LOG!H4:H2000,"&lt;0")),0),"0.00")</f>
        <v/>
      </c>
    </row>
    <row r="9" ht="18" customHeight="1" s="98">
      <c r="A9" s="193" t="inlineStr">
        <is>
          <t>Avg R:R:</t>
        </is>
      </c>
      <c r="B9" s="106">
        <f>TEXT(IFERROR(AVERAGE(TRADE_LOG!I4:I2000),0),"0.00")</f>
        <v/>
      </c>
    </row>
    <row r="10" ht="18" customHeight="1" s="98">
      <c r="A10" s="193" t="inlineStr">
        <is>
          <t>Discipline %:</t>
        </is>
      </c>
      <c r="B10" s="106">
        <f>TEXT(IFERROR(COUNTIF(TRADE_LOG!J4:J2000,"Yes")/COUNTA(TRADE_LOG!J4:J2000),0),"0.0%")</f>
        <v/>
      </c>
    </row>
    <row r="11" ht="18" customHeight="1" s="98">
      <c r="A11" s="193" t="inlineStr">
        <is>
          <t>Top Emotion:</t>
        </is>
      </c>
      <c r="B11" s="106">
        <f>IFERROR(INDEX(PSYCHOLOGY_LOG!A3:A15,MATCH(MAX(PSYCHOLOGY_LOG!B3:B15),PSYCHOLOGY_LOG!B3:B15,0)),"N/A")</f>
        <v/>
      </c>
    </row>
    <row r="12" ht="18" customHeight="1" s="98">
      <c r="A12" s="193" t="inlineStr">
        <is>
          <t>Avg Quality:</t>
        </is>
      </c>
      <c r="B12" s="106">
        <f>TEXT(IFERROR(AVERAGE(TRADE_LOG!L4:L2000),0),"0.0")&amp;"/10"</f>
        <v/>
      </c>
    </row>
    <row r="14" ht="18" customHeight="1" s="98">
      <c r="A14" s="194" t="inlineStr">
        <is>
          <t>PROMPT TO COPY (include your metrics from above):</t>
        </is>
      </c>
    </row>
    <row r="15" ht="259.5" customHeight="1" s="98">
      <c r="A15" s="195" t="inlineStr">
        <is>
          <t>You are a strict trading coach. Analyze my trading data below and give me coaching.
[PASTE YOUR METRICS FROM ROWS 5-12 ABOVE HERE]
DELIVER in this exact format:
1. PERFORMANCE REALITY CHECK: (honest, use my numbers)
2. BIGGEST MISTAKE COSTING MONEY: (specific, with evidence)
3. BEST SETUP TO FOCUS ON: (data-backed reason)
4. WORST HABIT TO ELIMINATE: (precise)
5. PSYCHOLOGY PATTERN: (what my top emotion reveals)
6. ACTION PLAN FOR TOMORROW: (3 specific rules)
7. MY GRADE: (A/B/C/D/F + one sentence why)
Tone: Strict. Use my numbers. No motivation. No fluff.
SEBI NOTE: This is for my personal educational self-review only. Not investment advice.</t>
        </is>
      </c>
      <c r="B15" s="196" t="n"/>
      <c r="C15" s="196" t="n"/>
    </row>
    <row r="16" ht="15" customHeight="1" s="98">
      <c r="A16" s="197" t="n"/>
    </row>
    <row r="17" ht="15" customHeight="1" s="98">
      <c r="A17" s="197" t="n"/>
    </row>
    <row r="18" ht="15" customHeight="1" s="98">
      <c r="A18" s="197" t="n"/>
    </row>
    <row r="19" ht="15" customHeight="1" s="98">
      <c r="A19" s="197" t="n"/>
    </row>
    <row r="20" ht="15" customHeight="1" s="98">
      <c r="A20" s="197" t="n"/>
    </row>
    <row r="21" ht="15" customHeight="1" s="98">
      <c r="A21" s="197" t="n"/>
    </row>
    <row r="22" ht="15" customHeight="1" s="98">
      <c r="A22" s="197" t="n"/>
    </row>
    <row r="23" ht="15" customHeight="1" s="98">
      <c r="A23" s="197" t="n"/>
    </row>
    <row r="24" ht="15" customHeight="1" s="98">
      <c r="A24" s="197" t="n"/>
    </row>
    <row r="25" ht="15" customHeight="1" s="98">
      <c r="A25" s="197" t="n"/>
    </row>
    <row r="26" ht="15" customHeight="1" s="98">
      <c r="A26" s="197" t="n"/>
    </row>
    <row r="27" ht="15" customHeight="1" s="98">
      <c r="A27" s="197" t="n"/>
    </row>
    <row r="28" ht="15" customHeight="1" s="98">
      <c r="A28" s="197" t="n"/>
    </row>
    <row r="29" ht="15" customHeight="1" s="98">
      <c r="A29" s="197" t="n"/>
    </row>
    <row r="30" ht="15" customHeight="1" s="98">
      <c r="A30" s="197" t="n"/>
    </row>
    <row r="31" ht="15" customHeight="1" s="98">
      <c r="A31" s="197" t="n"/>
    </row>
    <row r="32" ht="15" customHeight="1" s="98">
      <c r="A32" s="197" t="n"/>
    </row>
    <row r="34" ht="14" customHeight="1" s="98">
      <c r="A34" s="113" t="inlineStr">
        <is>
          <t>© thetradingmindset26 2026  ·  Basic Edition (₹499)  ·  @thetradingmindset26  ·  Educational self-improvement tool only. Not investment advice. Unauthorised redistribution prohibited.</t>
        </is>
      </c>
    </row>
  </sheetData>
  <mergeCells count="15">
    <mergeCell ref="B6:C6"/>
    <mergeCell ref="B7:C7"/>
    <mergeCell ref="A1:C1"/>
    <mergeCell ref="B11:C11"/>
    <mergeCell ref="A34:H34"/>
    <mergeCell ref="B5:C5"/>
    <mergeCell ref="A14:C14"/>
    <mergeCell ref="B10:C10"/>
    <mergeCell ref="A3:C3"/>
    <mergeCell ref="B9:C9"/>
    <mergeCell ref="A4:C4"/>
    <mergeCell ref="B8:C8"/>
    <mergeCell ref="A15:C32"/>
    <mergeCell ref="A2:C2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&amp;C&amp;"Arial,Bold"&amp;8 ⬡ AI Trading Journal Coach — Basic Edition (₹499)  ·  © thetradingmindset26 2026</oddHeader>
    <oddFooter>&amp;L&amp;"Arial,Italic"&amp;7 © thetradingmindset26 2026 · Educational only · Not investment advice · sebi.gov.in&amp;C&amp;"Arial"&amp;7 thetradingmindset26 · @thetradingmindset26 · gumroad.com/l/tmm-pro&amp;R&amp;"Arial"&amp;7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2026-03-30T08:08:45Z</dcterms:created>
  <dcterms:modified xmlns:dcterms="http://purl.org/dc/terms/" xmlns:xsi="http://www.w3.org/2001/XMLSchema-instance" xsi:type="dcterms:W3CDTF">2026-04-01T15:35:19Z</dcterms:modified>
  <cp:revision>1</cp:revision>
</cp:coreProperties>
</file>